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72" yWindow="912" windowWidth="17280" windowHeight="11004" tabRatio="600" firstSheet="0" activeTab="4" autoFilterDateGrouping="1"/>
  </bookViews>
  <sheets>
    <sheet name="工作表1" sheetId="1" state="visible" r:id="rId1"/>
    <sheet name="工作表2" sheetId="2" state="visible" r:id="rId2"/>
    <sheet name="工作表3" sheetId="3" state="visible" r:id="rId3"/>
    <sheet name="工作表4" sheetId="4" state="visible" r:id="rId4"/>
    <sheet name="工作表5" sheetId="5" state="visible" r:id="rId5"/>
    <sheet name="工作表6" sheetId="6" state="visible" r:id="rId6"/>
    <sheet name="工作表7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標楷體"/>
      <charset val="136"/>
      <family val="4"/>
      <color theme="1"/>
      <sz val="12"/>
    </font>
    <font>
      <name val="標楷體"/>
      <charset val="136"/>
      <family val="4"/>
      <b val="1"/>
      <color theme="1"/>
      <sz val="18"/>
    </font>
    <font>
      <name val="新細明體"/>
      <charset val="136"/>
      <family val="2"/>
      <sz val="9"/>
      <scheme val="minor"/>
    </font>
    <font>
      <name val="新細明體"/>
      <family val="1"/>
      <color theme="1"/>
      <sz val="12"/>
      <scheme val="minor"/>
    </font>
    <font>
      <name val="標楷體"/>
      <charset val="136"/>
      <family val="4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2">
    <xf numFmtId="0" fontId="0" fillId="0" borderId="0"/>
    <xf numFmtId="0" fontId="5" fillId="0" borderId="0" applyAlignment="1">
      <alignment vertical="center"/>
    </xf>
  </cellStyleXfs>
  <cellXfs count="7">
    <xf numFmtId="0" fontId="0" fillId="0" borderId="0" pivotButton="0" quotePrefix="0" xfId="0"/>
    <xf numFmtId="0" fontId="0" fillId="2" borderId="1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</cellXfs>
  <cellStyles count="2">
    <cellStyle name="一般" xfId="0" builtinId="0"/>
    <cellStyle name="一般 2 2" xfId="1"/>
  </cellStyles>
  <dxfs count="13"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ble3" displayName="tbble3" ref="A2:F5" headerRowCount="1" totalsRowShown="0" dataDxfId="12">
  <autoFilter ref="A2:F5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姓名" dataDxfId="11"/>
    <tableColumn id="2" name="年齡" dataDxfId="10"/>
    <tableColumn id="3" name="部門" dataDxfId="9"/>
    <tableColumn id="4" name="薪資" dataDxfId="8"/>
    <tableColumn id="5" name="補助" dataDxfId="7"/>
    <tableColumn id="6" name="薪資總額" dataDxfId="6">
      <calculatedColumnFormula>D3+E3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表格2" displayName="表格2" ref="A2:F5" headerRowCount="1" totalsRowShown="0">
  <autoFilter ref="A2:F5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ble313" displayName="tbble313" ref="A4:E7" headerRowCount="1" totalsRowShown="0" dataDxfId="5">
  <autoFilter ref="A4:E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業者" dataDxfId="4"/>
    <tableColumn id="2" name="路線" dataDxfId="3"/>
    <tableColumn id="3" name="交易筆數" dataDxfId="2"/>
    <tableColumn id="4" name="營收款" dataDxfId="1"/>
    <tableColumn id="5" name="平均客單價" dataDxfId="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表格4_10" displayName="表格4_10" ref="A1:E4" headerRowCount="1" totalsRowShown="0">
  <autoFilter ref="A1:E4">
    <filterColumn colId="0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表格6_11" displayName="表格6_11" ref="A6:F9" headerRowCount="1" totalsRowShown="0">
  <autoFilter ref="A6:F9">
    <filterColumn colId="0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表格7_12" displayName="表格7_12" ref="A11:C15" headerRowCount="1" totalsRowShown="0">
  <autoFilter ref="A11:C15">
    <filterColumn colId="0" hiddenButton="1" showButton="1"/>
  </autoFilter>
  <tableColumns count="3">
    <tableColumn id="1" name="區域"/>
    <tableColumn id="2" name="業績"/>
    <tableColumn id="3" name="達成率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表格4_1014" displayName="表格4_1014" ref="A5:E8" headerRowCount="1" totalsRowShown="0">
  <autoFilter ref="A5:E8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表格6_1115" displayName="表格6_1115" ref="A10:F13" headerRowCount="1" totalsRowShown="0">
  <autoFilter ref="A10:F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9" name="表格7_1216" displayName="表格7_1216" ref="A15:C19" headerRowCount="1" totalsRowShown="0">
  <autoFilter ref="A15:C19">
    <filterColumn colId="0" hiddenButton="1" showButton="1"/>
    <filterColumn colId="1" hiddenButton="1" showButton="1"/>
    <filterColumn colId="2" hiddenButton="1" showButton="1"/>
  </autoFilter>
  <tableColumns count="3">
    <tableColumn id="1" name="區域"/>
    <tableColumn id="2" name="業績"/>
    <tableColumn id="3" name="達成率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表格4" displayName="表格4" ref="A1:E4" headerRowCount="1" totalsRowShown="0">
  <autoFilter ref="A1:E4">
    <filterColumn colId="0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表格6" displayName="表格6" ref="A6:F9" headerRowCount="1" totalsRowShown="0">
  <autoFilter ref="A6:F9">
    <filterColumn colId="0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表格7" displayName="表格7" ref="M1:O5" headerRowCount="1" totalsRowShown="0">
  <autoFilter ref="M1:O5">
    <filterColumn colId="0" hiddenButton="1" showButton="1"/>
  </autoFilter>
  <tableColumns count="3">
    <tableColumn id="1" name="區域"/>
    <tableColumn id="2" name="業績"/>
    <tableColumn id="3" name="達成率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表格8" displayName="表格8" ref="M7:P9" headerRowCount="1" totalsRowShown="0">
  <autoFilter ref="M7:P9">
    <filterColumn colId="0" hiddenButton="1" showButton="1"/>
  </autoFilter>
  <tableColumns count="4">
    <tableColumn id="1" name="月份"/>
    <tableColumn id="2" name="收入"/>
    <tableColumn id="3" name="支出"/>
    <tableColumn id="4" name="淨利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表格6_6" displayName="表格6_6" ref="A10:F13" headerRowCount="1" totalsRowShown="0">
  <autoFilter ref="A10:F13">
    <filterColumn colId="0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表格8_18" displayName="表格8_18" ref="M11:P13" headerRowCount="1" totalsRowShown="0">
  <autoFilter ref="M11:P13">
    <filterColumn colId="0" hiddenButton="1" showButton="1"/>
  </autoFilter>
  <tableColumns count="4">
    <tableColumn id="1" name="月份"/>
    <tableColumn id="2" name="收入"/>
    <tableColumn id="3" name="支出"/>
    <tableColumn id="4" name="淨利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表格4_4" displayName="表格4_4" ref="A5:E8" headerRowCount="1" totalsRowShown="0">
  <autoFilter ref="A5:E8">
    <filterColumn colId="0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表格7_17" displayName="表格7_17" ref="M5:O9" headerRowCount="1" totalsRowShown="0">
  <autoFilter ref="M5:O9">
    <filterColumn colId="0" hiddenButton="1" showButton="1"/>
  </autoFilter>
  <tableColumns count="3">
    <tableColumn id="1" name="區域"/>
    <tableColumn id="2" name="業績"/>
    <tableColumn id="3" name="達成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Relationship Type="http://schemas.openxmlformats.org/officeDocument/2006/relationships/table" Target="/xl/tables/table12.xml" Id="rId3" /><Relationship Type="http://schemas.openxmlformats.org/officeDocument/2006/relationships/table" Target="/xl/tables/table13.xml" Id="rId4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4.xml" Id="rId1" /><Relationship Type="http://schemas.openxmlformats.org/officeDocument/2006/relationships/table" Target="/xl/tables/table15.xml" Id="rId2" /><Relationship Type="http://schemas.openxmlformats.org/officeDocument/2006/relationships/table" Target="/xl/tables/table16.xml" Id="rId3" /><Relationship Type="http://schemas.openxmlformats.org/officeDocument/2006/relationships/table" Target="/xl/tables/table17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E7" sqref="E7"/>
    </sheetView>
  </sheetViews>
  <sheetFormatPr baseColWidth="8" defaultRowHeight="15"/>
  <cols>
    <col width="14.5" customWidth="1" min="1" max="1"/>
    <col width="15.375" bestFit="1" customWidth="1" min="2" max="2"/>
    <col width="18.625" bestFit="1" customWidth="1" min="5" max="5"/>
    <col width="12.25" customWidth="1" min="6" max="6"/>
  </cols>
  <sheetData>
    <row r="1">
      <c r="A1" t="inlineStr">
        <is>
          <t>操作人員</t>
        </is>
      </c>
      <c r="B1" t="inlineStr">
        <is>
          <t>表格物件測試操作員</t>
        </is>
      </c>
      <c r="E1" t="inlineStr">
        <is>
          <t>2025年01月01日-2025年01月31日</t>
        </is>
      </c>
    </row>
    <row r="2">
      <c r="A2" t="inlineStr">
        <is>
          <t>姓名</t>
        </is>
      </c>
      <c r="B2" t="inlineStr">
        <is>
          <t>年齡</t>
        </is>
      </c>
      <c r="C2" t="inlineStr">
        <is>
          <t>部門</t>
        </is>
      </c>
      <c r="D2" t="inlineStr">
        <is>
          <t>薪資</t>
        </is>
      </c>
      <c r="E2" t="inlineStr">
        <is>
          <t>補助</t>
        </is>
      </c>
      <c r="F2" t="inlineStr">
        <is>
          <t>薪資總額</t>
        </is>
      </c>
    </row>
    <row r="3">
      <c r="A3" s="1" t="inlineStr">
        <is>
          <t>張三</t>
        </is>
      </c>
      <c r="B3" s="1" t="n">
        <v>25</v>
      </c>
      <c r="C3" s="1" t="inlineStr">
        <is>
          <t>技術部</t>
        </is>
      </c>
      <c r="D3" s="1" t="n">
        <v>50000</v>
      </c>
      <c r="E3" s="1" t="n">
        <v>5000</v>
      </c>
      <c r="F3" s="1">
        <f>D3+E3</f>
        <v/>
      </c>
    </row>
    <row r="4">
      <c r="A4" s="1" t="inlineStr">
        <is>
          <t>李四</t>
        </is>
      </c>
      <c r="B4" s="1" t="n">
        <v>30</v>
      </c>
      <c r="C4" s="1" t="inlineStr">
        <is>
          <t>業務部</t>
        </is>
      </c>
      <c r="D4" s="1" t="n">
        <v>55000</v>
      </c>
      <c r="E4" s="1" t="n">
        <v>6000</v>
      </c>
      <c r="F4" s="1">
        <f>D4+E4</f>
        <v/>
      </c>
    </row>
    <row r="5">
      <c r="A5" s="1" t="inlineStr">
        <is>
          <t>王五</t>
        </is>
      </c>
      <c r="B5" s="1" t="n">
        <v>35</v>
      </c>
      <c r="C5" s="1" t="inlineStr">
        <is>
          <t>人事部</t>
        </is>
      </c>
      <c r="D5" s="1" t="n">
        <v>60000</v>
      </c>
      <c r="E5" s="1" t="n">
        <v>7000</v>
      </c>
      <c r="F5" s="1">
        <f>D5+E5</f>
        <v/>
      </c>
    </row>
    <row r="6"/>
    <row r="7">
      <c r="A7" t="inlineStr">
        <is>
          <t>Report Footer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B3" sqref="B3"/>
    </sheetView>
  </sheetViews>
  <sheetFormatPr baseColWidth="8" defaultRowHeight="15"/>
  <cols>
    <col width="19.25" customWidth="1" min="1" max="1"/>
  </cols>
  <sheetData>
    <row r="1">
      <c r="A1" t="inlineStr">
        <is>
          <t>操作人員</t>
        </is>
      </c>
      <c r="B1" t="inlineStr">
        <is>
          <t>表格物件測試操作員</t>
        </is>
      </c>
      <c r="E1" t="inlineStr">
        <is>
          <t>2025年01月01日-2025年01月31日</t>
        </is>
      </c>
    </row>
    <row r="2">
      <c r="A2" t="inlineStr">
        <is>
          <t>姓名</t>
        </is>
      </c>
      <c r="B2" t="inlineStr">
        <is>
          <t>年齡</t>
        </is>
      </c>
      <c r="C2" t="inlineStr">
        <is>
          <t>部門</t>
        </is>
      </c>
      <c r="D2" t="inlineStr">
        <is>
          <t>薪資</t>
        </is>
      </c>
      <c r="E2" t="inlineStr">
        <is>
          <t>補助</t>
        </is>
      </c>
      <c r="F2" t="inlineStr">
        <is>
          <t>薪資總額</t>
        </is>
      </c>
    </row>
    <row r="3">
      <c r="A3" t="inlineStr">
        <is>
          <t>張三</t>
        </is>
      </c>
      <c r="B3" t="n">
        <v>25</v>
      </c>
      <c r="C3" t="inlineStr">
        <is>
          <t>技術部</t>
        </is>
      </c>
      <c r="D3" t="n">
        <v>50000</v>
      </c>
      <c r="E3" t="n">
        <v>5000</v>
      </c>
      <c r="F3" t="n">
        <v>55000</v>
      </c>
    </row>
    <row r="4">
      <c r="A4" t="inlineStr">
        <is>
          <t>李四</t>
        </is>
      </c>
      <c r="B4" t="n">
        <v>30</v>
      </c>
      <c r="C4" t="inlineStr">
        <is>
          <t>業務部</t>
        </is>
      </c>
      <c r="D4" t="n">
        <v>55000</v>
      </c>
      <c r="E4" t="n">
        <v>6000</v>
      </c>
      <c r="F4" t="n">
        <v>61000</v>
      </c>
    </row>
    <row r="5">
      <c r="A5" t="inlineStr">
        <is>
          <t>王五</t>
        </is>
      </c>
      <c r="B5" t="n">
        <v>35</v>
      </c>
      <c r="C5" t="inlineStr">
        <is>
          <t>人事部</t>
        </is>
      </c>
      <c r="D5" t="n">
        <v>60000</v>
      </c>
      <c r="E5" t="n">
        <v>7000</v>
      </c>
      <c r="F5" t="n">
        <v>67000</v>
      </c>
    </row>
    <row r="6"/>
    <row r="7">
      <c r="A7" t="inlineStr">
        <is>
          <t>Report Footer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85" zoomScaleNormal="85" workbookViewId="0">
      <selection activeCell="M6" sqref="M6"/>
    </sheetView>
  </sheetViews>
  <sheetFormatPr baseColWidth="8" defaultRowHeight="15"/>
  <cols>
    <col width="13.875" customWidth="1" min="1" max="1"/>
    <col width="13.125" customWidth="1" min="3" max="3"/>
    <col width="13.5" customWidth="1" min="5" max="5"/>
    <col width="32" customWidth="1" min="10" max="10"/>
  </cols>
  <sheetData>
    <row r="1" ht="114.6" customFormat="1" customHeight="1" s="2">
      <c r="C1" s="6" t="inlineStr">
        <is>
          <t>DEMO Inc.
TW PASSMonthly Report on Fare Difference Subsidy for Public Transport Period Tickets</t>
        </is>
      </c>
    </row>
    <row r="2" ht="16.2" customHeight="1">
      <c r="A2" s="3" t="inlineStr">
        <is>
          <t>清分日：</t>
        </is>
      </c>
      <c r="B2" s="4" t="inlineStr">
        <is>
          <t>2025/01/01 - 2025/01/31</t>
        </is>
      </c>
    </row>
    <row r="3" ht="16.2" customHeight="1">
      <c r="A3" s="3" t="inlineStr">
        <is>
          <t>交易日：</t>
        </is>
      </c>
      <c r="B3" s="4" t="inlineStr">
        <is>
          <t>2025/01/01 - 2025/01/31</t>
        </is>
      </c>
    </row>
    <row r="4">
      <c r="A4" t="inlineStr">
        <is>
          <t>業者</t>
        </is>
      </c>
      <c r="B4" t="inlineStr">
        <is>
          <t>路線</t>
        </is>
      </c>
      <c r="C4" t="inlineStr">
        <is>
          <t>交易筆數</t>
        </is>
      </c>
      <c r="D4" t="inlineStr">
        <is>
          <t>營收款</t>
        </is>
      </c>
      <c r="E4" t="inlineStr">
        <is>
          <t>平均客單價</t>
        </is>
      </c>
    </row>
    <row r="5">
      <c r="A5" s="1" t="inlineStr">
        <is>
          <t>保護傘客運</t>
        </is>
      </c>
      <c r="B5" s="1" t="inlineStr">
        <is>
          <t>A001</t>
        </is>
      </c>
      <c r="C5" s="1" t="n">
        <v>10</v>
      </c>
      <c r="D5" s="1" t="n">
        <v>10</v>
      </c>
      <c r="E5" s="1" t="n">
        <v>10</v>
      </c>
    </row>
    <row r="6">
      <c r="A6" s="1" t="inlineStr">
        <is>
          <t>保護傘客運</t>
        </is>
      </c>
      <c r="B6" s="1" t="inlineStr">
        <is>
          <t>A002</t>
        </is>
      </c>
      <c r="C6" s="1" t="n">
        <v>20</v>
      </c>
      <c r="D6" s="1" t="n">
        <v>20</v>
      </c>
      <c r="E6" s="1" t="n">
        <v>20</v>
      </c>
    </row>
    <row r="7">
      <c r="A7" s="1" t="inlineStr">
        <is>
          <t>沒有傘客運</t>
        </is>
      </c>
      <c r="B7" s="1" t="inlineStr">
        <is>
          <t>GA91</t>
        </is>
      </c>
      <c r="C7" s="1" t="n">
        <v>30</v>
      </c>
      <c r="D7" s="1" t="n">
        <v>30</v>
      </c>
      <c r="E7" s="1" t="n">
        <v>30</v>
      </c>
    </row>
    <row r="8"/>
    <row r="9">
      <c r="A9" t="inlineStr">
        <is>
          <t>Report Footer</t>
        </is>
      </c>
    </row>
    <row r="17"/>
  </sheetData>
  <mergeCells count="1">
    <mergeCell ref="C1:J1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C26" sqref="C26"/>
    </sheetView>
  </sheetViews>
  <sheetFormatPr baseColWidth="8" defaultRowHeight="15"/>
  <cols>
    <col width="23.125" customWidth="1" min="1" max="1"/>
  </cols>
  <sheetData>
    <row r="1">
      <c r="A1" t="inlineStr">
        <is>
          <t>姓名</t>
        </is>
      </c>
      <c r="B1" t="inlineStr">
        <is>
          <t>年齡</t>
        </is>
      </c>
      <c r="C1" t="inlineStr">
        <is>
          <t>部門</t>
        </is>
      </c>
      <c r="D1" t="inlineStr">
        <is>
          <t>薪資</t>
        </is>
      </c>
      <c r="E1" t="inlineStr">
        <is>
          <t>補助</t>
        </is>
      </c>
    </row>
    <row r="2">
      <c r="A2" t="inlineStr">
        <is>
          <t>張三</t>
        </is>
      </c>
      <c r="B2" t="n">
        <v>25</v>
      </c>
      <c r="C2" t="inlineStr">
        <is>
          <t>技術部</t>
        </is>
      </c>
      <c r="D2" t="n">
        <v>50000</v>
      </c>
      <c r="E2" t="n">
        <v>5000</v>
      </c>
    </row>
    <row r="3">
      <c r="A3" t="inlineStr">
        <is>
          <t>李四</t>
        </is>
      </c>
      <c r="B3" t="n">
        <v>30</v>
      </c>
      <c r="C3" t="inlineStr">
        <is>
          <t>業務部</t>
        </is>
      </c>
      <c r="D3" t="n">
        <v>55000</v>
      </c>
      <c r="E3" t="n">
        <v>6000</v>
      </c>
    </row>
    <row r="4">
      <c r="A4" t="inlineStr">
        <is>
          <t>王五</t>
        </is>
      </c>
      <c r="B4" t="n">
        <v>35</v>
      </c>
      <c r="C4" t="inlineStr">
        <is>
          <t>人事部</t>
        </is>
      </c>
      <c r="D4" t="n">
        <v>60000</v>
      </c>
      <c r="E4" t="n">
        <v>7000</v>
      </c>
    </row>
    <row r="5"/>
    <row r="6">
      <c r="A6" t="inlineStr">
        <is>
          <t>姓名</t>
        </is>
      </c>
      <c r="B6" t="inlineStr">
        <is>
          <t>年齡</t>
        </is>
      </c>
      <c r="C6" t="inlineStr">
        <is>
          <t>部門</t>
        </is>
      </c>
      <c r="D6" t="inlineStr">
        <is>
          <t>薪資</t>
        </is>
      </c>
      <c r="E6" t="inlineStr">
        <is>
          <t>補助</t>
        </is>
      </c>
      <c r="F6" t="inlineStr">
        <is>
          <t>薪資總額</t>
        </is>
      </c>
    </row>
    <row r="7">
      <c r="A7" t="inlineStr">
        <is>
          <t>張三</t>
        </is>
      </c>
      <c r="B7" t="n">
        <v>25</v>
      </c>
      <c r="C7" t="inlineStr">
        <is>
          <t>技術部</t>
        </is>
      </c>
      <c r="D7" t="n">
        <v>50000</v>
      </c>
      <c r="E7" t="n">
        <v>5000</v>
      </c>
      <c r="F7" t="n">
        <v>55000</v>
      </c>
    </row>
    <row r="8">
      <c r="A8" t="inlineStr">
        <is>
          <t>李四</t>
        </is>
      </c>
      <c r="B8" t="n">
        <v>30</v>
      </c>
      <c r="C8" t="inlineStr">
        <is>
          <t>業務部</t>
        </is>
      </c>
      <c r="D8" t="n">
        <v>55000</v>
      </c>
      <c r="E8" t="n">
        <v>6000</v>
      </c>
      <c r="F8" t="n">
        <v>61000</v>
      </c>
    </row>
    <row r="9">
      <c r="A9" t="inlineStr">
        <is>
          <t>王五</t>
        </is>
      </c>
      <c r="B9" t="n">
        <v>35</v>
      </c>
      <c r="C9" t="inlineStr">
        <is>
          <t>人事部</t>
        </is>
      </c>
      <c r="D9" t="n">
        <v>60000</v>
      </c>
      <c r="E9" t="n">
        <v>7000</v>
      </c>
      <c r="F9" t="n">
        <v>67000</v>
      </c>
    </row>
    <row r="10"/>
    <row r="11">
      <c r="A11" t="inlineStr">
        <is>
          <t>區域</t>
        </is>
      </c>
      <c r="B11" t="inlineStr">
        <is>
          <t>業績</t>
        </is>
      </c>
      <c r="C11" t="inlineStr">
        <is>
          <t>達成率</t>
        </is>
      </c>
    </row>
    <row r="12">
      <c r="A12" t="inlineStr">
        <is>
          <t>北區</t>
        </is>
      </c>
      <c r="B12" t="n">
        <v>500000</v>
      </c>
      <c r="C12" t="n">
        <v>1.05</v>
      </c>
    </row>
    <row r="13">
      <c r="A13" t="inlineStr">
        <is>
          <t>中區</t>
        </is>
      </c>
      <c r="B13" t="n">
        <v>450000</v>
      </c>
      <c r="C13" t="n">
        <v>0.95</v>
      </c>
    </row>
    <row r="14">
      <c r="A14" t="inlineStr">
        <is>
          <t>南區</t>
        </is>
      </c>
      <c r="B14" t="n">
        <v>480000</v>
      </c>
      <c r="C14" t="n">
        <v>1.01</v>
      </c>
    </row>
    <row r="15">
      <c r="A15" t="inlineStr">
        <is>
          <t>東區</t>
        </is>
      </c>
      <c r="B15" t="n">
        <v>520000</v>
      </c>
      <c r="C15" t="n">
        <v>1.09</v>
      </c>
    </row>
    <row r="16"/>
    <row r="17"/>
    <row r="18"/>
  </sheetData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zoomScale="70" zoomScaleNormal="70" workbookViewId="0">
      <selection activeCell="F12" sqref="F12"/>
    </sheetView>
  </sheetViews>
  <sheetFormatPr baseColWidth="8" defaultRowHeight="15"/>
  <cols>
    <col width="23.125" customWidth="1" min="1" max="1"/>
    <col width="14.125" customWidth="1" min="6" max="6"/>
  </cols>
  <sheetData>
    <row r="1" ht="114.6" customFormat="1" customHeight="1" s="2">
      <c r="B1" s="6" t="inlineStr">
        <is>
          <t>DEMO Inc.
REPORT</t>
        </is>
      </c>
      <c r="G1" s="5" t="n"/>
      <c r="H1" s="5" t="n"/>
      <c r="I1" s="5" t="n"/>
      <c r="J1" s="5" t="n"/>
    </row>
    <row r="2" ht="16.2" customHeight="1">
      <c r="A2" s="3" t="inlineStr">
        <is>
          <t>清分日：</t>
        </is>
      </c>
      <c r="B2" s="4" t="inlineStr">
        <is>
          <t>2025/01/01 - 2025/01/31</t>
        </is>
      </c>
    </row>
    <row r="3" ht="16.2" customHeight="1">
      <c r="A3" s="3" t="inlineStr">
        <is>
          <t>交易日：</t>
        </is>
      </c>
      <c r="B3" s="4" t="inlineStr">
        <is>
          <t>2025/01/01 - 2025/01/31</t>
        </is>
      </c>
    </row>
    <row r="4" ht="16.2" customHeight="1">
      <c r="A4" s="3" t="n"/>
      <c r="B4" s="4" t="n"/>
    </row>
    <row r="5">
      <c r="A5" t="inlineStr">
        <is>
          <t>姓名</t>
        </is>
      </c>
      <c r="B5" t="inlineStr">
        <is>
          <t>年齡</t>
        </is>
      </c>
      <c r="C5" t="inlineStr">
        <is>
          <t>部門</t>
        </is>
      </c>
      <c r="D5" t="inlineStr">
        <is>
          <t>薪資</t>
        </is>
      </c>
      <c r="E5" t="inlineStr">
        <is>
          <t>補助</t>
        </is>
      </c>
    </row>
    <row r="6">
      <c r="A6" t="inlineStr">
        <is>
          <t>張三</t>
        </is>
      </c>
      <c r="B6" t="n">
        <v>25</v>
      </c>
      <c r="C6" t="inlineStr">
        <is>
          <t>技術部</t>
        </is>
      </c>
      <c r="D6" t="n">
        <v>50000</v>
      </c>
      <c r="E6" t="n">
        <v>5000</v>
      </c>
    </row>
    <row r="7">
      <c r="A7" t="inlineStr">
        <is>
          <t>李四</t>
        </is>
      </c>
      <c r="B7" t="n">
        <v>30</v>
      </c>
      <c r="C7" t="inlineStr">
        <is>
          <t>業務部</t>
        </is>
      </c>
      <c r="D7" t="n">
        <v>55000</v>
      </c>
      <c r="E7" t="n">
        <v>6000</v>
      </c>
    </row>
    <row r="8">
      <c r="A8" t="inlineStr">
        <is>
          <t>王五</t>
        </is>
      </c>
      <c r="B8" t="n">
        <v>35</v>
      </c>
      <c r="C8" t="inlineStr">
        <is>
          <t>人事部</t>
        </is>
      </c>
      <c r="D8" t="n">
        <v>60000</v>
      </c>
      <c r="E8" t="n">
        <v>7000</v>
      </c>
    </row>
    <row r="9"/>
    <row r="10">
      <c r="A10" t="inlineStr">
        <is>
          <t>姓名</t>
        </is>
      </c>
      <c r="B10" t="inlineStr">
        <is>
          <t>年齡</t>
        </is>
      </c>
      <c r="C10" t="inlineStr">
        <is>
          <t>部門</t>
        </is>
      </c>
      <c r="D10" t="inlineStr">
        <is>
          <t>薪資</t>
        </is>
      </c>
      <c r="E10" t="inlineStr">
        <is>
          <t>補助</t>
        </is>
      </c>
      <c r="F10" t="inlineStr">
        <is>
          <t>薪資總額</t>
        </is>
      </c>
    </row>
    <row r="11">
      <c r="A11" t="inlineStr">
        <is>
          <t>張三</t>
        </is>
      </c>
      <c r="B11" t="n">
        <v>25</v>
      </c>
      <c r="C11" t="inlineStr">
        <is>
          <t>技術部</t>
        </is>
      </c>
      <c r="D11" t="n">
        <v>50000</v>
      </c>
      <c r="E11" t="n">
        <v>5000</v>
      </c>
      <c r="F11" t="n">
        <v>55000</v>
      </c>
    </row>
    <row r="12">
      <c r="A12" t="inlineStr">
        <is>
          <t>李四</t>
        </is>
      </c>
      <c r="B12" t="n">
        <v>30</v>
      </c>
      <c r="C12" t="inlineStr">
        <is>
          <t>業務部</t>
        </is>
      </c>
      <c r="D12" t="n">
        <v>55000</v>
      </c>
      <c r="E12" t="n">
        <v>6000</v>
      </c>
      <c r="F12" t="n">
        <v>61000</v>
      </c>
    </row>
    <row r="13">
      <c r="A13" t="inlineStr">
        <is>
          <t>王五</t>
        </is>
      </c>
      <c r="B13" t="n">
        <v>35</v>
      </c>
      <c r="C13" t="inlineStr">
        <is>
          <t>人事部</t>
        </is>
      </c>
      <c r="D13" t="n">
        <v>60000</v>
      </c>
      <c r="E13" t="n">
        <v>7000</v>
      </c>
      <c r="F13" t="n">
        <v>67000</v>
      </c>
    </row>
    <row r="14"/>
    <row r="15">
      <c r="A15" t="inlineStr">
        <is>
          <t>區域</t>
        </is>
      </c>
      <c r="B15" t="inlineStr">
        <is>
          <t>業績</t>
        </is>
      </c>
      <c r="C15" t="inlineStr">
        <is>
          <t>達成率</t>
        </is>
      </c>
    </row>
    <row r="16">
      <c r="A16" t="inlineStr">
        <is>
          <t>北區</t>
        </is>
      </c>
      <c r="B16" t="n">
        <v>500000</v>
      </c>
      <c r="C16" t="n">
        <v>1.05</v>
      </c>
    </row>
    <row r="17">
      <c r="A17" t="inlineStr">
        <is>
          <t>中區</t>
        </is>
      </c>
      <c r="B17" t="n">
        <v>450000</v>
      </c>
      <c r="C17" t="n">
        <v>0.95</v>
      </c>
    </row>
    <row r="18">
      <c r="A18" t="inlineStr">
        <is>
          <t>南區</t>
        </is>
      </c>
      <c r="B18" t="n">
        <v>480000</v>
      </c>
      <c r="C18" t="n">
        <v>1.01</v>
      </c>
    </row>
    <row r="19">
      <c r="A19" t="inlineStr">
        <is>
          <t>東區</t>
        </is>
      </c>
      <c r="B19" t="n">
        <v>520000</v>
      </c>
      <c r="C19" t="n">
        <v>1.09</v>
      </c>
    </row>
    <row r="20"/>
    <row r="21">
      <c r="A21" t="inlineStr">
        <is>
          <t>Report Footer</t>
        </is>
      </c>
    </row>
    <row r="22"/>
    <row r="23"/>
    <row r="24"/>
  </sheetData>
  <mergeCells count="1">
    <mergeCell ref="B1:F1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H15" sqref="H15"/>
    </sheetView>
  </sheetViews>
  <sheetFormatPr baseColWidth="8" defaultRowHeight="15"/>
  <cols>
    <col width="23.125" customWidth="1" min="1" max="1"/>
    <col width="11.25" customWidth="1" min="4" max="4"/>
    <col width="20.75" bestFit="1" customWidth="1" min="13" max="13"/>
  </cols>
  <sheetData>
    <row r="1">
      <c r="A1" t="inlineStr">
        <is>
          <t>姓名</t>
        </is>
      </c>
      <c r="B1" t="inlineStr">
        <is>
          <t>年齡</t>
        </is>
      </c>
      <c r="C1" t="inlineStr">
        <is>
          <t>部門</t>
        </is>
      </c>
      <c r="D1" t="inlineStr">
        <is>
          <t>薪資</t>
        </is>
      </c>
      <c r="E1" t="inlineStr">
        <is>
          <t>補助</t>
        </is>
      </c>
      <c r="M1" t="inlineStr">
        <is>
          <t>區域</t>
        </is>
      </c>
      <c r="N1" t="inlineStr">
        <is>
          <t>業績</t>
        </is>
      </c>
      <c r="O1" t="inlineStr">
        <is>
          <t>達成率</t>
        </is>
      </c>
    </row>
    <row r="2">
      <c r="A2" t="inlineStr">
        <is>
          <t>張三</t>
        </is>
      </c>
      <c r="B2" t="n">
        <v>25</v>
      </c>
      <c r="C2" t="inlineStr">
        <is>
          <t>技術部</t>
        </is>
      </c>
      <c r="D2" t="n">
        <v>50000</v>
      </c>
      <c r="E2" t="n">
        <v>5000</v>
      </c>
      <c r="M2" t="inlineStr">
        <is>
          <t>北區</t>
        </is>
      </c>
      <c r="N2" t="n">
        <v>500000</v>
      </c>
      <c r="O2" t="n">
        <v>1.05</v>
      </c>
    </row>
    <row r="3">
      <c r="A3" t="inlineStr">
        <is>
          <t>李四</t>
        </is>
      </c>
      <c r="B3" t="n">
        <v>30</v>
      </c>
      <c r="C3" t="inlineStr">
        <is>
          <t>業務部</t>
        </is>
      </c>
      <c r="D3" t="n">
        <v>55000</v>
      </c>
      <c r="E3" t="n">
        <v>6000</v>
      </c>
      <c r="M3" t="inlineStr">
        <is>
          <t>中區</t>
        </is>
      </c>
      <c r="N3" t="n">
        <v>450000</v>
      </c>
      <c r="O3" t="n">
        <v>0.95</v>
      </c>
    </row>
    <row r="4">
      <c r="A4" t="inlineStr">
        <is>
          <t>王五</t>
        </is>
      </c>
      <c r="B4" t="n">
        <v>35</v>
      </c>
      <c r="C4" t="inlineStr">
        <is>
          <t>人事部</t>
        </is>
      </c>
      <c r="D4" t="n">
        <v>60000</v>
      </c>
      <c r="E4" t="n">
        <v>7000</v>
      </c>
      <c r="M4" t="inlineStr">
        <is>
          <t>南區</t>
        </is>
      </c>
      <c r="N4" t="n">
        <v>480000</v>
      </c>
      <c r="O4" t="n">
        <v>1.01</v>
      </c>
    </row>
    <row r="5">
      <c r="M5" t="inlineStr">
        <is>
          <t>東區</t>
        </is>
      </c>
      <c r="N5" t="n">
        <v>520000</v>
      </c>
      <c r="O5" t="n">
        <v>1.09</v>
      </c>
    </row>
    <row r="6">
      <c r="A6" t="inlineStr">
        <is>
          <t>姓名</t>
        </is>
      </c>
      <c r="B6" t="inlineStr">
        <is>
          <t>年齡</t>
        </is>
      </c>
      <c r="C6" t="inlineStr">
        <is>
          <t>部門</t>
        </is>
      </c>
      <c r="D6" t="inlineStr">
        <is>
          <t>薪資</t>
        </is>
      </c>
      <c r="E6" t="inlineStr">
        <is>
          <t>補助</t>
        </is>
      </c>
      <c r="F6" t="inlineStr">
        <is>
          <t>薪資總額</t>
        </is>
      </c>
    </row>
    <row r="7">
      <c r="A7" t="inlineStr">
        <is>
          <t>張三</t>
        </is>
      </c>
      <c r="B7" t="n">
        <v>25</v>
      </c>
      <c r="C7" t="inlineStr">
        <is>
          <t>技術部</t>
        </is>
      </c>
      <c r="D7" t="n">
        <v>50000</v>
      </c>
      <c r="E7" t="n">
        <v>5000</v>
      </c>
      <c r="F7" t="n">
        <v>55000</v>
      </c>
      <c r="M7" t="inlineStr">
        <is>
          <t>月份</t>
        </is>
      </c>
      <c r="N7" t="inlineStr">
        <is>
          <t>收入</t>
        </is>
      </c>
      <c r="O7" t="inlineStr">
        <is>
          <t>支出</t>
        </is>
      </c>
      <c r="P7" t="inlineStr">
        <is>
          <t>淨利</t>
        </is>
      </c>
    </row>
    <row r="8">
      <c r="A8" t="inlineStr">
        <is>
          <t>李四</t>
        </is>
      </c>
      <c r="B8" t="n">
        <v>30</v>
      </c>
      <c r="C8" t="inlineStr">
        <is>
          <t>業務部</t>
        </is>
      </c>
      <c r="D8" t="n">
        <v>55000</v>
      </c>
      <c r="E8" t="n">
        <v>6000</v>
      </c>
      <c r="F8" t="n">
        <v>61000</v>
      </c>
      <c r="M8" t="inlineStr">
        <is>
          <t>一月</t>
        </is>
      </c>
      <c r="N8" t="n">
        <v>1200000</v>
      </c>
      <c r="O8" t="n">
        <v>980000</v>
      </c>
      <c r="P8" t="n">
        <v>220000</v>
      </c>
    </row>
    <row r="9">
      <c r="A9" t="inlineStr">
        <is>
          <t>王五</t>
        </is>
      </c>
      <c r="B9" t="n">
        <v>35</v>
      </c>
      <c r="C9" t="inlineStr">
        <is>
          <t>人事部</t>
        </is>
      </c>
      <c r="D9" t="n">
        <v>60000</v>
      </c>
      <c r="E9" t="n">
        <v>7000</v>
      </c>
      <c r="F9" t="n">
        <v>67000</v>
      </c>
      <c r="M9" t="inlineStr">
        <is>
          <t>二月</t>
        </is>
      </c>
      <c r="N9" t="n">
        <v>1350000</v>
      </c>
      <c r="O9" t="n">
        <v>1050000</v>
      </c>
      <c r="P9" t="n">
        <v>300000</v>
      </c>
    </row>
    <row r="10"/>
    <row r="11"/>
    <row r="12"/>
    <row r="13"/>
    <row r="14"/>
    <row r="15"/>
  </sheetData>
  <pageMargins left="0.7" right="0.7" top="0.75" bottom="0.75" header="0.3" footer="0.3"/>
  <pageSetup orientation="portrait" paperSize="9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J8" sqref="J8"/>
    </sheetView>
  </sheetViews>
  <sheetFormatPr baseColWidth="8" defaultRowHeight="15"/>
  <cols>
    <col width="23.125" customWidth="1" min="1" max="1"/>
    <col width="11.25" customWidth="1" min="4" max="4"/>
    <col width="20.75" bestFit="1" customWidth="1" min="13" max="13"/>
  </cols>
  <sheetData>
    <row r="1" ht="114.6" customFormat="1" customHeight="1" s="2">
      <c r="B1" s="6" t="inlineStr">
        <is>
          <t>DEMO Inc.
REPORT</t>
        </is>
      </c>
      <c r="G1" s="5" t="n"/>
      <c r="H1" s="5" t="n"/>
      <c r="I1" s="5" t="n"/>
      <c r="J1" s="5" t="n"/>
    </row>
    <row r="2" ht="16.2" customHeight="1">
      <c r="A2" s="3" t="inlineStr">
        <is>
          <t>清分日：</t>
        </is>
      </c>
      <c r="B2" s="4" t="inlineStr">
        <is>
          <t>2025/01/01 - 2025/01/31</t>
        </is>
      </c>
    </row>
    <row r="3" ht="16.2" customHeight="1">
      <c r="A3" s="3" t="inlineStr">
        <is>
          <t>交易日：</t>
        </is>
      </c>
      <c r="B3" s="4" t="inlineStr">
        <is>
          <t>2025/01/01 - 2025/01/31</t>
        </is>
      </c>
    </row>
    <row r="4"/>
    <row r="5">
      <c r="A5" t="inlineStr">
        <is>
          <t>姓名</t>
        </is>
      </c>
      <c r="B5" t="inlineStr">
        <is>
          <t>年齡</t>
        </is>
      </c>
      <c r="C5" t="inlineStr">
        <is>
          <t>部門</t>
        </is>
      </c>
      <c r="D5" t="inlineStr">
        <is>
          <t>薪資</t>
        </is>
      </c>
      <c r="E5" t="inlineStr">
        <is>
          <t>補助</t>
        </is>
      </c>
      <c r="M5" t="inlineStr">
        <is>
          <t>區域</t>
        </is>
      </c>
      <c r="N5" t="inlineStr">
        <is>
          <t>業績</t>
        </is>
      </c>
      <c r="O5" t="inlineStr">
        <is>
          <t>達成率</t>
        </is>
      </c>
    </row>
    <row r="6">
      <c r="A6" t="inlineStr">
        <is>
          <t>張三</t>
        </is>
      </c>
      <c r="B6" t="n">
        <v>25</v>
      </c>
      <c r="C6" t="inlineStr">
        <is>
          <t>技術部</t>
        </is>
      </c>
      <c r="D6" t="n">
        <v>50000</v>
      </c>
      <c r="E6" t="n">
        <v>5000</v>
      </c>
      <c r="M6" t="inlineStr">
        <is>
          <t>北區</t>
        </is>
      </c>
      <c r="N6" t="n">
        <v>500000</v>
      </c>
      <c r="O6" t="n">
        <v>1.05</v>
      </c>
    </row>
    <row r="7">
      <c r="A7" t="inlineStr">
        <is>
          <t>李四</t>
        </is>
      </c>
      <c r="B7" t="n">
        <v>30</v>
      </c>
      <c r="C7" t="inlineStr">
        <is>
          <t>業務部</t>
        </is>
      </c>
      <c r="D7" t="n">
        <v>55000</v>
      </c>
      <c r="E7" t="n">
        <v>6000</v>
      </c>
      <c r="M7" t="inlineStr">
        <is>
          <t>中區</t>
        </is>
      </c>
      <c r="N7" t="n">
        <v>450000</v>
      </c>
      <c r="O7" t="n">
        <v>0.95</v>
      </c>
    </row>
    <row r="8">
      <c r="A8" t="inlineStr">
        <is>
          <t>王五</t>
        </is>
      </c>
      <c r="B8" t="n">
        <v>35</v>
      </c>
      <c r="C8" t="inlineStr">
        <is>
          <t>人事部</t>
        </is>
      </c>
      <c r="D8" t="n">
        <v>60000</v>
      </c>
      <c r="E8" t="n">
        <v>7000</v>
      </c>
      <c r="M8" t="inlineStr">
        <is>
          <t>南區</t>
        </is>
      </c>
      <c r="N8" t="n">
        <v>480000</v>
      </c>
      <c r="O8" t="n">
        <v>1.01</v>
      </c>
    </row>
    <row r="9">
      <c r="M9" t="inlineStr">
        <is>
          <t>東區</t>
        </is>
      </c>
      <c r="N9" t="n">
        <v>520000</v>
      </c>
      <c r="O9" t="n">
        <v>1.09</v>
      </c>
    </row>
    <row r="10">
      <c r="A10" t="inlineStr">
        <is>
          <t>姓名</t>
        </is>
      </c>
      <c r="B10" t="inlineStr">
        <is>
          <t>年齡</t>
        </is>
      </c>
      <c r="C10" t="inlineStr">
        <is>
          <t>部門</t>
        </is>
      </c>
      <c r="D10" t="inlineStr">
        <is>
          <t>薪資</t>
        </is>
      </c>
      <c r="E10" t="inlineStr">
        <is>
          <t>補助</t>
        </is>
      </c>
      <c r="F10" t="inlineStr">
        <is>
          <t>薪資總額</t>
        </is>
      </c>
    </row>
    <row r="11">
      <c r="A11" t="inlineStr">
        <is>
          <t>張三</t>
        </is>
      </c>
      <c r="B11" t="n">
        <v>25</v>
      </c>
      <c r="C11" t="inlineStr">
        <is>
          <t>技術部</t>
        </is>
      </c>
      <c r="D11" t="n">
        <v>50000</v>
      </c>
      <c r="E11" t="n">
        <v>5000</v>
      </c>
      <c r="F11" t="n">
        <v>55000</v>
      </c>
      <c r="M11" t="inlineStr">
        <is>
          <t>月份</t>
        </is>
      </c>
      <c r="N11" t="inlineStr">
        <is>
          <t>收入</t>
        </is>
      </c>
      <c r="O11" t="inlineStr">
        <is>
          <t>支出</t>
        </is>
      </c>
      <c r="P11" t="inlineStr">
        <is>
          <t>淨利</t>
        </is>
      </c>
    </row>
    <row r="12">
      <c r="A12" t="inlineStr">
        <is>
          <t>李四</t>
        </is>
      </c>
      <c r="B12" t="n">
        <v>30</v>
      </c>
      <c r="C12" t="inlineStr">
        <is>
          <t>業務部</t>
        </is>
      </c>
      <c r="D12" t="n">
        <v>55000</v>
      </c>
      <c r="E12" t="n">
        <v>6000</v>
      </c>
      <c r="F12" t="n">
        <v>61000</v>
      </c>
      <c r="M12" t="inlineStr">
        <is>
          <t>一月</t>
        </is>
      </c>
      <c r="N12" t="n">
        <v>1200000</v>
      </c>
      <c r="O12" t="n">
        <v>980000</v>
      </c>
      <c r="P12" t="n">
        <v>220000</v>
      </c>
    </row>
    <row r="13">
      <c r="A13" t="inlineStr">
        <is>
          <t>王五</t>
        </is>
      </c>
      <c r="B13" t="n">
        <v>35</v>
      </c>
      <c r="C13" t="inlineStr">
        <is>
          <t>人事部</t>
        </is>
      </c>
      <c r="D13" t="n">
        <v>60000</v>
      </c>
      <c r="E13" t="n">
        <v>7000</v>
      </c>
      <c r="F13" t="n">
        <v>67000</v>
      </c>
      <c r="M13" t="inlineStr">
        <is>
          <t>二月</t>
        </is>
      </c>
      <c r="N13" t="n">
        <v>1350000</v>
      </c>
      <c r="O13" t="n">
        <v>1050000</v>
      </c>
      <c r="P13" t="n">
        <v>300000</v>
      </c>
    </row>
    <row r="14"/>
    <row r="15"/>
    <row r="16"/>
    <row r="17"/>
    <row r="18"/>
    <row r="19">
      <c r="A19" t="inlineStr">
        <is>
          <t>Report Footer</t>
        </is>
      </c>
    </row>
  </sheetData>
  <mergeCells count="1">
    <mergeCell ref="B1:F1"/>
  </mergeCells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P434薛仲君</dc:creator>
  <dcterms:created xsi:type="dcterms:W3CDTF">2015-06-05T18:19:34Z</dcterms:created>
  <dcterms:modified xsi:type="dcterms:W3CDTF">2026-06-26T15:30:09Z</dcterms:modified>
  <cp:lastModifiedBy>P434薛仲君</cp:lastModifiedBy>
</cp:coreProperties>
</file>