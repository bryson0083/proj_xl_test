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7" autoFilterDateGrouping="1"/>
  </bookViews>
  <sheets>
    <sheet name="工作表1" sheetId="1" state="visible" r:id="rId1"/>
    <sheet name="工作表2" sheetId="2" state="visible" r:id="rId2"/>
    <sheet name="工作表3" sheetId="3" state="visible" r:id="rId3"/>
    <sheet name="工作表4" sheetId="4" state="visible" r:id="rId4"/>
    <sheet name="工作表5" sheetId="5" state="visible" r:id="rId5"/>
    <sheet name="工作表6" sheetId="6" state="visible" r:id="rId6"/>
    <sheet name="工作表7" sheetId="7" state="visible" r:id="rId7"/>
    <sheet name="工作表8" sheetId="8" state="visible" r:id="rId8"/>
    <sheet name="工作表9" sheetId="9" state="visible" r:id="rId9"/>
    <sheet name="工作表10" sheetId="10" state="visible" r:id="rId10"/>
  </sheets>
  <definedNames>
    <definedName name="FOOTER">工作表7!$10:$19</definedName>
    <definedName name="HEADER">工作表7!$1:$8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_-* #,##0_-;\-* #,##0_-;_-* &quot;-&quot;??_-;_-@_-"/>
    <numFmt numFmtId="166" formatCode="0.0000%"/>
    <numFmt numFmtId="167" formatCode="#,##0_);[Red]\(#,##0\)"/>
    <numFmt numFmtId="168" formatCode="#,##0_ "/>
  </numFmts>
  <fonts count="23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rgb="FF9C5700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b val="1"/>
      <color theme="1"/>
      <sz val="18"/>
    </font>
    <font>
      <name val="標楷體"/>
      <charset val="136"/>
      <family val="4"/>
      <color theme="1"/>
      <sz val="12"/>
    </font>
    <font>
      <name val="標楷體"/>
      <charset val="136"/>
      <family val="4"/>
      <b val="1"/>
      <color theme="1"/>
      <sz val="12"/>
    </font>
    <font>
      <name val="新細明體"/>
      <family val="1"/>
      <color theme="1"/>
      <sz val="12"/>
      <scheme val="minor"/>
    </font>
    <font>
      <name val="標楷體"/>
      <charset val="136"/>
      <family val="4"/>
      <color theme="1"/>
      <sz val="11"/>
    </font>
    <font>
      <name val="標楷體"/>
      <charset val="136"/>
      <family val="4"/>
      <b val="1"/>
      <color theme="1"/>
      <sz val="16"/>
    </font>
    <font>
      <name val="Arial"/>
      <family val="2"/>
      <color theme="1"/>
      <sz val="12"/>
    </font>
    <font>
      <name val="Arial"/>
      <family val="2"/>
      <sz val="12"/>
    </font>
    <font>
      <name val="標楷體"/>
      <charset val="136"/>
      <family val="4"/>
      <sz val="12"/>
    </font>
    <font>
      <name val="新細明體"/>
      <charset val="136"/>
      <family val="1"/>
      <color theme="1"/>
      <sz val="12"/>
    </font>
    <font>
      <name val="Arial"/>
      <family val="2"/>
      <color rgb="FFFF0000"/>
      <sz val="12"/>
    </font>
    <font>
      <name val="微軟正黑體"/>
      <charset val="136"/>
      <family val="2"/>
      <color theme="1"/>
      <sz val="11"/>
    </font>
    <font>
      <name val="標楷體"/>
      <charset val="136"/>
      <family val="4"/>
      <color theme="1"/>
      <sz val="16"/>
    </font>
    <font>
      <name val="標楷體"/>
      <charset val="136"/>
      <family val="4"/>
      <b val="1"/>
      <color theme="1"/>
      <sz val="22"/>
    </font>
    <font>
      <name val="標楷體"/>
      <charset val="136"/>
      <family val="4"/>
      <b val="1"/>
      <sz val="12"/>
    </font>
    <font>
      <name val="標楷體"/>
      <charset val="136"/>
      <family val="4"/>
      <b val="1"/>
      <color rgb="FFFF0000"/>
      <sz val="26"/>
    </font>
    <font>
      <name val="標楷體"/>
      <charset val="136"/>
      <family val="4"/>
      <b val="1"/>
      <sz val="26"/>
    </font>
    <font>
      <name val="微軟正黑體"/>
      <charset val="136"/>
      <family val="2"/>
      <color theme="1"/>
      <sz val="12"/>
    </font>
    <font>
      <name val="Arial"/>
      <charset val="136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5">
    <xf numFmtId="0" fontId="1" fillId="0" borderId="0" applyAlignment="1">
      <alignment vertical="center"/>
    </xf>
    <xf numFmtId="43" fontId="1" fillId="0" borderId="0" applyAlignment="1">
      <alignment vertical="center"/>
    </xf>
    <xf numFmtId="0" fontId="2" fillId="2" borderId="0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</cellStyleXfs>
  <cellXfs count="12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5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/>
    </xf>
    <xf numFmtId="9" fontId="5" fillId="0" borderId="1" applyAlignment="1" pivotButton="0" quotePrefix="0" xfId="0">
      <alignment vertical="center"/>
    </xf>
    <xf numFmtId="0" fontId="5" fillId="0" borderId="0" applyAlignment="1" pivotButton="0" quotePrefix="0" xfId="3">
      <alignment horizontal="lef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6" fillId="3" borderId="1" applyAlignment="1" pivotButton="0" quotePrefix="0" xfId="3">
      <alignment horizontal="center" vertical="center" wrapText="1"/>
    </xf>
    <xf numFmtId="0" fontId="6" fillId="4" borderId="1" applyAlignment="1" pivotButton="0" quotePrefix="0" xfId="3">
      <alignment horizontal="center" vertical="center" wrapText="1"/>
    </xf>
    <xf numFmtId="0" fontId="6" fillId="5" borderId="1" applyAlignment="1" pivotButton="0" quotePrefix="0" xfId="3">
      <alignment horizontal="center" vertical="center" wrapText="1"/>
    </xf>
    <xf numFmtId="0" fontId="6" fillId="6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5" fillId="0" borderId="1" applyAlignment="1" pivotButton="0" quotePrefix="0" xfId="3">
      <alignment horizontal="center" vertical="center"/>
    </xf>
    <xf numFmtId="3" fontId="5" fillId="0" borderId="1" applyAlignment="1" pivotButton="0" quotePrefix="0" xfId="3">
      <alignment vertical="center"/>
    </xf>
    <xf numFmtId="0" fontId="11" fillId="0" borderId="4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right" vertical="center"/>
    </xf>
    <xf numFmtId="0" fontId="19" fillId="0" borderId="0" applyAlignment="1" pivotButton="0" quotePrefix="0" xfId="4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49" fontId="5" fillId="0" borderId="0" applyAlignment="1" pivotButton="0" quotePrefix="0" xfId="1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2" fillId="2" borderId="19" pivotButton="0" quotePrefix="0" xfId="2"/>
    <xf numFmtId="0" fontId="0" fillId="0" borderId="19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20" fillId="0" borderId="0" applyAlignment="1" pivotButton="0" quotePrefix="0" xfId="4">
      <alignment vertical="center"/>
    </xf>
    <xf numFmtId="164" fontId="5" fillId="0" borderId="1" applyAlignment="1" pivotButton="0" quotePrefix="0" xfId="3">
      <alignment vertical="center"/>
    </xf>
    <xf numFmtId="165" fontId="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vertical="center"/>
    </xf>
    <xf numFmtId="167" fontId="5" fillId="0" borderId="1" applyAlignment="1" pivotButton="0" quotePrefix="0" xfId="0">
      <alignment vertical="center"/>
    </xf>
    <xf numFmtId="165" fontId="5" fillId="0" borderId="1" applyAlignment="1" pivotButton="0" quotePrefix="0" xfId="1">
      <alignment vertical="center"/>
    </xf>
    <xf numFmtId="167" fontId="11" fillId="0" borderId="5" applyAlignment="1" pivotButton="0" quotePrefix="0" xfId="0">
      <alignment horizontal="center" vertical="center" wrapText="1"/>
    </xf>
    <xf numFmtId="167" fontId="11" fillId="0" borderId="5" applyAlignment="1" pivotButton="0" quotePrefix="0" xfId="4">
      <alignment horizontal="center" vertical="center" wrapText="1"/>
    </xf>
    <xf numFmtId="167" fontId="14" fillId="0" borderId="5" applyAlignment="1" pivotButton="0" quotePrefix="0" xfId="4">
      <alignment horizontal="center" vertical="center" wrapText="1"/>
    </xf>
    <xf numFmtId="167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vertical="center"/>
    </xf>
    <xf numFmtId="168" fontId="10" fillId="0" borderId="8" applyAlignment="1" pivotButton="0" quotePrefix="0" xfId="0">
      <alignment vertical="center"/>
    </xf>
    <xf numFmtId="167" fontId="10" fillId="0" borderId="1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15" fillId="0" borderId="1" applyAlignment="1" pivotButton="0" quotePrefix="0" xfId="1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  <xf numFmtId="0" fontId="8" fillId="0" borderId="0" pivotButton="0" quotePrefix="0" xfId="0"/>
    <xf numFmtId="0" fontId="4" fillId="0" borderId="0" applyAlignment="1" pivotButton="0" quotePrefix="0" xfId="3">
      <alignment horizontal="center" vertical="center"/>
    </xf>
    <xf numFmtId="0" fontId="8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21" pivotButton="0" quotePrefix="0" xfId="0"/>
    <xf numFmtId="0" fontId="5" fillId="0" borderId="19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" applyAlignment="1" pivotButton="0" quotePrefix="0" xfId="0">
      <alignment horizontal="right" vertical="center"/>
    </xf>
    <xf numFmtId="0" fontId="0" fillId="0" borderId="24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25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2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15" fillId="0" borderId="1" applyAlignment="1" pivotButton="0" quotePrefix="0" xfId="0">
      <alignment horizontal="center" vertical="center"/>
    </xf>
    <xf numFmtId="49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18" fillId="0" borderId="0" applyAlignment="1" pivotButton="0" quotePrefix="0" xfId="4">
      <alignment horizontal="left" vertical="center"/>
    </xf>
    <xf numFmtId="0" fontId="20" fillId="0" borderId="0" applyAlignment="1" pivotButton="0" quotePrefix="0" xfId="4">
      <alignment vertical="center"/>
    </xf>
    <xf numFmtId="0" fontId="5" fillId="0" borderId="11" applyAlignment="1" pivotButton="0" quotePrefix="0" xfId="0">
      <alignment horizontal="center" vertical="center"/>
    </xf>
    <xf numFmtId="0" fontId="0" fillId="0" borderId="28" pivotButton="0" quotePrefix="0" xfId="0"/>
    <xf numFmtId="0" fontId="5" fillId="0" borderId="17" applyAlignment="1" pivotButton="0" quotePrefix="0" xfId="0">
      <alignment horizontal="right" vertical="center"/>
    </xf>
    <xf numFmtId="0" fontId="0" fillId="0" borderId="13" pivotButton="0" quotePrefix="0" xfId="0"/>
    <xf numFmtId="0" fontId="9" fillId="0" borderId="0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38" pivotButton="0" quotePrefix="0" xfId="0"/>
    <xf numFmtId="0" fontId="5" fillId="0" borderId="38" applyAlignment="1" pivotButton="0" quotePrefix="0" xfId="3">
      <alignment horizontal="center" vertical="center"/>
    </xf>
    <xf numFmtId="3" fontId="5" fillId="0" borderId="38" applyAlignment="1" pivotButton="0" quotePrefix="0" xfId="3">
      <alignment vertical="center"/>
    </xf>
    <xf numFmtId="164" fontId="5" fillId="0" borderId="38" applyAlignment="1" pivotButton="0" quotePrefix="0" xfId="3">
      <alignment vertical="center"/>
    </xf>
    <xf numFmtId="165" fontId="5" fillId="0" borderId="1" applyAlignment="1" pivotButton="0" quotePrefix="0" xfId="1">
      <alignment horizontal="center" vertical="center"/>
    </xf>
    <xf numFmtId="0" fontId="5" fillId="0" borderId="38" applyAlignment="1" pivotButton="0" quotePrefix="0" xfId="0">
      <alignment horizontal="center" vertical="center"/>
    </xf>
    <xf numFmtId="166" fontId="5" fillId="0" borderId="38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167" fontId="5" fillId="0" borderId="38" applyAlignment="1" pivotButton="0" quotePrefix="0" xfId="0">
      <alignment vertical="center"/>
    </xf>
    <xf numFmtId="9" fontId="5" fillId="0" borderId="38" applyAlignment="1" pivotButton="0" quotePrefix="0" xfId="0">
      <alignment vertical="center"/>
    </xf>
    <xf numFmtId="165" fontId="5" fillId="0" borderId="1" applyAlignment="1" pivotButton="0" quotePrefix="0" xfId="1">
      <alignment vertical="center"/>
    </xf>
    <xf numFmtId="167" fontId="11" fillId="0" borderId="5" applyAlignment="1" pivotButton="0" quotePrefix="0" xfId="0">
      <alignment horizontal="center" vertical="center" wrapText="1"/>
    </xf>
    <xf numFmtId="167" fontId="11" fillId="0" borderId="5" applyAlignment="1" pivotButton="0" quotePrefix="0" xfId="4">
      <alignment horizontal="center" vertical="center" wrapText="1"/>
    </xf>
    <xf numFmtId="167" fontId="14" fillId="0" borderId="5" applyAlignment="1" pivotButton="0" quotePrefix="0" xfId="4">
      <alignment horizontal="center" vertical="center" wrapText="1"/>
    </xf>
    <xf numFmtId="0" fontId="11" fillId="0" borderId="38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167" fontId="10" fillId="0" borderId="38" applyAlignment="1" pivotButton="0" quotePrefix="0" xfId="0">
      <alignment vertical="center"/>
    </xf>
    <xf numFmtId="168" fontId="10" fillId="0" borderId="38" applyAlignment="1" pivotButton="0" quotePrefix="0" xfId="0">
      <alignment vertical="center"/>
    </xf>
    <xf numFmtId="167" fontId="10" fillId="0" borderId="1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15" fillId="0" borderId="38" applyAlignment="1" pivotButton="0" quotePrefix="0" xfId="1">
      <alignment horizontal="center" vertical="center"/>
    </xf>
    <xf numFmtId="166" fontId="5" fillId="0" borderId="38" applyAlignment="1" pivotButton="0" quotePrefix="0" xfId="0">
      <alignment horizontal="center" vertical="center"/>
    </xf>
    <xf numFmtId="166" fontId="5" fillId="0" borderId="0" applyAlignment="1" pivotButton="0" quotePrefix="0" xfId="0">
      <alignment vertical="center"/>
    </xf>
    <xf numFmtId="167" fontId="5" fillId="0" borderId="0" applyAlignment="1" pivotButton="0" quotePrefix="0" xfId="0">
      <alignment vertical="center"/>
    </xf>
  </cellXfs>
  <cellStyles count="5">
    <cellStyle name="一般" xfId="0" builtinId="0"/>
    <cellStyle name="千分位" xfId="1" builtinId="3"/>
    <cellStyle name="中等" xfId="2" builtinId="28"/>
    <cellStyle name="一般 2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L5" sqref="L5"/>
    </sheetView>
  </sheetViews>
  <sheetFormatPr baseColWidth="8" defaultRowHeight="16.2"/>
  <cols>
    <col width="14.33203125" bestFit="1" customWidth="1" style="1" min="1" max="1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103" t="inlineStr">
        <is>
          <t>姓名</t>
        </is>
      </c>
      <c r="B2" s="103" t="inlineStr">
        <is>
          <t>年齡</t>
        </is>
      </c>
      <c r="C2" s="103" t="inlineStr">
        <is>
          <t>部門</t>
        </is>
      </c>
      <c r="D2" s="103" t="inlineStr">
        <is>
          <t>薪資</t>
        </is>
      </c>
      <c r="E2" s="103" t="inlineStr">
        <is>
          <t>補助</t>
        </is>
      </c>
      <c r="F2" s="103" t="inlineStr">
        <is>
          <t>薪資總額</t>
        </is>
      </c>
    </row>
    <row r="3">
      <c r="A3" s="103" t="inlineStr">
        <is>
          <t>張三</t>
        </is>
      </c>
      <c r="B3" s="103" t="n">
        <v>25</v>
      </c>
      <c r="C3" s="103" t="inlineStr">
        <is>
          <t>技術部</t>
        </is>
      </c>
      <c r="D3" s="103" t="n">
        <v>50000</v>
      </c>
      <c r="E3" s="103" t="n">
        <v>5000</v>
      </c>
      <c r="F3" s="103" t="n">
        <v>55000</v>
      </c>
    </row>
    <row r="4">
      <c r="A4" s="103" t="inlineStr">
        <is>
          <t>李四</t>
        </is>
      </c>
      <c r="B4" s="103" t="n">
        <v>30</v>
      </c>
      <c r="C4" s="103" t="inlineStr">
        <is>
          <t>業務部</t>
        </is>
      </c>
      <c r="D4" s="103" t="n">
        <v>55000</v>
      </c>
      <c r="E4" s="103" t="n">
        <v>6000</v>
      </c>
      <c r="F4" s="103" t="n">
        <v>61000</v>
      </c>
    </row>
    <row r="5">
      <c r="A5" s="103" t="inlineStr">
        <is>
          <t>王五</t>
        </is>
      </c>
      <c r="B5" s="103" t="n">
        <v>35</v>
      </c>
      <c r="C5" s="103" t="inlineStr">
        <is>
          <t>人事部</t>
        </is>
      </c>
      <c r="D5" s="103" t="n">
        <v>60000</v>
      </c>
      <c r="E5" s="103" t="n">
        <v>7000</v>
      </c>
      <c r="F5" s="103" t="n">
        <v>67000</v>
      </c>
    </row>
    <row r="6"/>
    <row r="7"/>
    <row r="8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M7" sqref="M7"/>
    </sheetView>
  </sheetViews>
  <sheetFormatPr baseColWidth="8" defaultRowHeight="16.2"/>
  <cols>
    <col width="14.21875" customWidth="1" style="1" min="1" max="1"/>
    <col width="15" bestFit="1" customWidth="1" style="1" min="2" max="2"/>
    <col width="6" bestFit="1" customWidth="1" style="1" min="3" max="4"/>
    <col width="17.77734375" bestFit="1" customWidth="1" style="1" min="5" max="5"/>
    <col width="10.44140625" bestFit="1" customWidth="1" style="1" min="6" max="6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s="2" t="inlineStr">
        <is>
          <t>年齡</t>
        </is>
      </c>
      <c r="C2" s="2" t="inlineStr">
        <is>
          <t>部門</t>
        </is>
      </c>
      <c r="D2" s="2" t="inlineStr">
        <is>
          <t>薪資</t>
        </is>
      </c>
      <c r="E2" s="2" t="inlineStr">
        <is>
          <t>補助</t>
        </is>
      </c>
      <c r="F2" s="2" t="inlineStr">
        <is>
          <t>薪資總額</t>
        </is>
      </c>
    </row>
    <row r="3">
      <c r="A3" s="103" t="inlineStr">
        <is>
          <t>張三</t>
        </is>
      </c>
      <c r="B3" s="103" t="n">
        <v>25</v>
      </c>
      <c r="C3" s="103" t="inlineStr">
        <is>
          <t>技術部</t>
        </is>
      </c>
      <c r="D3" s="103" t="n">
        <v>50000</v>
      </c>
      <c r="E3" s="103" t="n">
        <v>5000</v>
      </c>
      <c r="F3" s="103">
        <f>D3+E3</f>
        <v/>
      </c>
    </row>
    <row r="4">
      <c r="A4" s="103" t="inlineStr">
        <is>
          <t>李四</t>
        </is>
      </c>
      <c r="B4" s="103" t="n">
        <v>30</v>
      </c>
      <c r="C4" s="103" t="inlineStr">
        <is>
          <t>業務部</t>
        </is>
      </c>
      <c r="D4" s="103" t="n">
        <v>55000</v>
      </c>
      <c r="E4" s="103" t="n">
        <v>6000</v>
      </c>
      <c r="F4" s="103">
        <f>D4+E4</f>
        <v/>
      </c>
    </row>
    <row r="5">
      <c r="A5" s="103" t="inlineStr">
        <is>
          <t>王五</t>
        </is>
      </c>
      <c r="B5" s="103" t="n">
        <v>35</v>
      </c>
      <c r="C5" s="103" t="inlineStr">
        <is>
          <t>人事部</t>
        </is>
      </c>
      <c r="D5" s="103" t="n">
        <v>60000</v>
      </c>
      <c r="E5" s="103" t="n">
        <v>7000</v>
      </c>
      <c r="F5" s="103">
        <f>D5+E5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M9" sqref="M9"/>
    </sheetView>
  </sheetViews>
  <sheetFormatPr baseColWidth="8" defaultRowHeight="16.2"/>
  <cols>
    <col width="14.33203125" bestFit="1" customWidth="1" style="1" min="1" max="1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103" t="inlineStr">
        <is>
          <t>姓名</t>
        </is>
      </c>
      <c r="B2" s="103" t="inlineStr">
        <is>
          <t>年齡</t>
        </is>
      </c>
      <c r="C2" s="103" t="inlineStr">
        <is>
          <t>部門</t>
        </is>
      </c>
      <c r="D2" s="103" t="inlineStr">
        <is>
          <t>薪資</t>
        </is>
      </c>
      <c r="E2" s="103" t="inlineStr">
        <is>
          <t>補助</t>
        </is>
      </c>
      <c r="F2" s="103" t="inlineStr">
        <is>
          <t>薪資總額</t>
        </is>
      </c>
    </row>
    <row r="3">
      <c r="A3" s="103" t="inlineStr">
        <is>
          <t>張三</t>
        </is>
      </c>
      <c r="B3" s="103" t="n">
        <v>25</v>
      </c>
      <c r="C3" s="103" t="inlineStr">
        <is>
          <t>技術部</t>
        </is>
      </c>
      <c r="D3" s="103" t="n">
        <v>50000</v>
      </c>
      <c r="E3" s="103" t="n">
        <v>5000</v>
      </c>
      <c r="F3" s="103" t="n">
        <v>55000</v>
      </c>
    </row>
    <row r="4" ht="15" customHeight="1" s="1">
      <c r="A4" s="103" t="inlineStr">
        <is>
          <t>李四</t>
        </is>
      </c>
      <c r="B4" s="103" t="n">
        <v>30</v>
      </c>
      <c r="C4" s="103" t="inlineStr">
        <is>
          <t>業務部</t>
        </is>
      </c>
      <c r="D4" s="103" t="n">
        <v>55000</v>
      </c>
      <c r="E4" s="103" t="n">
        <v>6000</v>
      </c>
      <c r="F4" s="103" t="n">
        <v>61000</v>
      </c>
    </row>
    <row r="5" ht="15" customHeight="1" s="1">
      <c r="A5" s="103" t="inlineStr">
        <is>
          <t>王五</t>
        </is>
      </c>
      <c r="B5" s="103" t="n">
        <v>35</v>
      </c>
      <c r="C5" s="103" t="inlineStr">
        <is>
          <t>人事部</t>
        </is>
      </c>
      <c r="D5" s="103" t="n">
        <v>60000</v>
      </c>
      <c r="E5" s="103" t="n">
        <v>7000</v>
      </c>
      <c r="F5" s="103" t="n">
        <v>67000</v>
      </c>
    </row>
    <row r="6" ht="15" customHeight="1" s="1"/>
    <row r="7" ht="15" customHeight="1" s="1">
      <c r="A7" s="0" t="inlineStr">
        <is>
          <t>Report Footer</t>
        </is>
      </c>
    </row>
    <row r="8" ht="15" customHeight="1" s="1"/>
    <row r="9" ht="15" customHeight="1" s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L10" sqref="L10"/>
    </sheetView>
  </sheetViews>
  <sheetFormatPr baseColWidth="8" defaultRowHeight="16.2"/>
  <cols>
    <col width="14.21875" customWidth="1" style="1" min="1" max="1"/>
    <col width="15" bestFit="1" customWidth="1" style="1" min="2" max="2"/>
    <col width="6" bestFit="1" customWidth="1" style="1" min="3" max="4"/>
    <col width="17.77734375" bestFit="1" customWidth="1" style="1" min="5" max="5"/>
    <col width="10.44140625" bestFit="1" customWidth="1" style="1" min="6" max="6"/>
  </cols>
  <sheetData>
    <row r="1">
      <c r="A1" s="0" t="inlineStr">
        <is>
          <t>操作人員</t>
        </is>
      </c>
      <c r="B1" s="0" t="inlineStr">
        <is>
          <t>統一測試操作員</t>
        </is>
      </c>
      <c r="E1" s="0" t="inlineStr">
        <is>
          <t>2025年01月01日-2025年01月31日統一測試</t>
        </is>
      </c>
    </row>
    <row r="2">
      <c r="A2" s="2" t="inlineStr">
        <is>
          <t>姓名</t>
        </is>
      </c>
      <c r="B2" s="2" t="inlineStr">
        <is>
          <t>年齡</t>
        </is>
      </c>
      <c r="C2" s="2" t="inlineStr">
        <is>
          <t>部門</t>
        </is>
      </c>
      <c r="D2" s="2" t="inlineStr">
        <is>
          <t>薪資</t>
        </is>
      </c>
      <c r="E2" s="2" t="inlineStr">
        <is>
          <t>補助</t>
        </is>
      </c>
      <c r="F2" s="2" t="inlineStr">
        <is>
          <t>薪資總額</t>
        </is>
      </c>
    </row>
    <row r="3">
      <c r="A3" s="103" t="inlineStr">
        <is>
          <t>張三</t>
        </is>
      </c>
      <c r="B3" s="103" t="n">
        <v>25</v>
      </c>
      <c r="C3" s="103" t="inlineStr">
        <is>
          <t>技術部</t>
        </is>
      </c>
      <c r="D3" s="103" t="n">
        <v>50000</v>
      </c>
      <c r="E3" s="103" t="n">
        <v>5000</v>
      </c>
      <c r="F3" s="103">
        <f>D3+E3</f>
        <v/>
      </c>
    </row>
    <row r="4">
      <c r="A4" s="103" t="inlineStr">
        <is>
          <t>李四</t>
        </is>
      </c>
      <c r="B4" s="103" t="n">
        <v>30</v>
      </c>
      <c r="C4" s="103" t="inlineStr">
        <is>
          <t>業務部</t>
        </is>
      </c>
      <c r="D4" s="103" t="n">
        <v>55000</v>
      </c>
      <c r="E4" s="103" t="n">
        <v>6000</v>
      </c>
      <c r="F4" s="103">
        <f>D4+E4</f>
        <v/>
      </c>
    </row>
    <row r="5" ht="15" customHeight="1" s="1">
      <c r="A5" s="103" t="inlineStr">
        <is>
          <t>王五</t>
        </is>
      </c>
      <c r="B5" s="103" t="n">
        <v>35</v>
      </c>
      <c r="C5" s="103" t="inlineStr">
        <is>
          <t>人事部</t>
        </is>
      </c>
      <c r="D5" s="103" t="n">
        <v>60000</v>
      </c>
      <c r="E5" s="103" t="n">
        <v>7000</v>
      </c>
      <c r="F5" s="103">
        <f>D5+E5</f>
        <v/>
      </c>
    </row>
    <row r="6" ht="15" customHeight="1" s="1"/>
    <row r="7" ht="15" customHeight="1" s="1">
      <c r="A7" s="0" t="inlineStr">
        <is>
          <t>Report Footer</t>
        </is>
      </c>
    </row>
    <row r="8" ht="15" customHeight="1" s="1"/>
    <row r="9" ht="15" customHeight="1" s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2" sqref="B2"/>
    </sheetView>
  </sheetViews>
  <sheetFormatPr baseColWidth="8" defaultRowHeight="16.2"/>
  <cols>
    <col width="27.88671875" bestFit="1" customWidth="1" style="1" min="1" max="1"/>
    <col width="19.88671875" bestFit="1" customWidth="1" style="1" min="2" max="2"/>
    <col width="21.109375" customWidth="1" style="1" min="3" max="3"/>
    <col width="8.88671875" customWidth="1" style="1" min="4" max="4"/>
    <col width="8.88671875" customWidth="1" style="1" min="5" max="16384"/>
  </cols>
  <sheetData>
    <row r="1">
      <c r="A1" s="37" t="inlineStr">
        <is>
          <t>公司員工年齡統計級距表</t>
        </is>
      </c>
      <c r="B1" s="37" t="inlineStr">
        <is>
          <t>人數</t>
        </is>
      </c>
      <c r="C1" s="37" t="inlineStr">
        <is>
          <t>人數</t>
        </is>
      </c>
    </row>
    <row r="2">
      <c r="A2" s="38" t="inlineStr">
        <is>
          <t>20~30歲</t>
        </is>
      </c>
      <c r="B2" s="38" t="n">
        <v>45</v>
      </c>
      <c r="C2" s="38" t="n">
        <v>45</v>
      </c>
    </row>
    <row r="3">
      <c r="A3" s="38" t="inlineStr">
        <is>
          <t>31~40歲</t>
        </is>
      </c>
      <c r="B3" s="38" t="n">
        <v>38</v>
      </c>
      <c r="C3" s="38" t="n">
        <v>38</v>
      </c>
    </row>
    <row r="4">
      <c r="A4" s="38" t="inlineStr">
        <is>
          <t>41~50歲</t>
        </is>
      </c>
      <c r="B4" s="38" t="n">
        <v>52</v>
      </c>
      <c r="C4" s="38" t="n">
        <v>52</v>
      </c>
    </row>
    <row r="5">
      <c r="A5" s="38" t="inlineStr">
        <is>
          <t>51~65歲</t>
        </is>
      </c>
      <c r="B5" s="38" t="n">
        <v>23</v>
      </c>
      <c r="C5" s="38" t="n">
        <v>23</v>
      </c>
    </row>
    <row r="6">
      <c r="A6" s="38" t="inlineStr">
        <is>
          <t>66歲以上</t>
        </is>
      </c>
      <c r="B6" s="38" t="n">
        <v>8</v>
      </c>
      <c r="C6" s="38" t="n">
        <v>8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zoomScale="85" zoomScaleNormal="85" workbookViewId="0">
      <selection activeCell="A6" sqref="A6"/>
    </sheetView>
  </sheetViews>
  <sheetFormatPr baseColWidth="8" defaultColWidth="8.109375" defaultRowHeight="15"/>
  <cols>
    <col width="13.109375" customWidth="1" style="69" min="1" max="1"/>
    <col width="14" customWidth="1" style="69" min="2" max="7"/>
    <col width="16.6640625" customWidth="1" style="69" min="8" max="8"/>
    <col width="17.6640625" customWidth="1" style="69" min="9" max="9"/>
    <col width="14" customWidth="1" style="69" min="10" max="10"/>
    <col width="8.109375" customWidth="1" style="69" min="11" max="13"/>
    <col width="8.109375" customWidth="1" style="69" min="14" max="16384"/>
  </cols>
  <sheetData>
    <row r="1" ht="24.6" customHeight="1" s="1">
      <c r="A1" s="68" t="inlineStr">
        <is>
          <t>浣熊市市區公車定期票票差補貼補助金額統計表</t>
        </is>
      </c>
    </row>
    <row r="2" ht="24.6" customHeight="1" s="1">
      <c r="A2" s="68" t="inlineStr">
        <is>
          <t>公司名稱：統一測試操作員</t>
        </is>
      </c>
    </row>
    <row r="3" ht="22.2" customHeight="1" s="1">
      <c r="A3" s="6" t="inlineStr">
        <is>
          <t>清分日：</t>
        </is>
      </c>
      <c r="B3" s="7" t="inlineStr">
        <is>
          <t>2024年5月1日-2024年5月31日</t>
        </is>
      </c>
      <c r="C3" s="8" t="n"/>
      <c r="D3" s="8" t="n"/>
      <c r="E3" s="8" t="n"/>
      <c r="F3" s="8" t="n"/>
      <c r="G3" s="8" t="n"/>
      <c r="H3" s="8" t="n"/>
      <c r="I3" s="7" t="n"/>
      <c r="J3" s="7" t="n"/>
    </row>
    <row r="4" ht="22.2" customHeight="1" s="1">
      <c r="A4" s="6" t="inlineStr">
        <is>
          <t>交易日：</t>
        </is>
      </c>
      <c r="B4" s="7" t="inlineStr">
        <is>
          <t>2024年5月1日-2024年5月31日</t>
        </is>
      </c>
      <c r="C4" s="8" t="n"/>
      <c r="D4" s="9" t="n"/>
      <c r="E4" s="9" t="n"/>
      <c r="F4" s="9" t="n"/>
      <c r="G4" s="9" t="n"/>
      <c r="H4" s="9" t="n"/>
      <c r="I4" s="7" t="n"/>
      <c r="J4" s="7" t="n"/>
    </row>
    <row r="5" ht="48.6" customHeight="1" s="1">
      <c r="A5" s="10" t="inlineStr">
        <is>
          <t>路線</t>
        </is>
      </c>
      <c r="B5" s="11" t="inlineStr">
        <is>
          <t>浣熊市市民
定期票
旅次數</t>
        </is>
      </c>
      <c r="C5" s="11" t="inlineStr">
        <is>
          <t>浣熊市市民
定期票
補助金額</t>
        </is>
      </c>
      <c r="D5" s="12" t="inlineStr">
        <is>
          <t>浣熊市非市民定期票
旅次數</t>
        </is>
      </c>
      <c r="E5" s="12" t="inlineStr">
        <is>
          <t>浣熊市非市民定期票
補助金額</t>
        </is>
      </c>
      <c r="F5" s="13" t="inlineStr">
        <is>
          <t>貓熊市民定期票
旅次數</t>
        </is>
      </c>
      <c r="G5" s="13" t="inlineStr">
        <is>
          <t>貓熊市民定期票
補助金額</t>
        </is>
      </c>
      <c r="H5" s="14" t="inlineStr">
        <is>
          <t>貓熊非市民
定期票
旅次數</t>
        </is>
      </c>
      <c r="I5" s="14" t="inlineStr">
        <is>
          <t>貓熊非市民
定期票
補助金額</t>
        </is>
      </c>
      <c r="J5" s="15" t="inlineStr">
        <is>
          <t>總補助金額</t>
        </is>
      </c>
    </row>
    <row r="6" ht="16.2" customHeight="1" s="1">
      <c r="A6" s="104" t="inlineStr">
        <is>
          <t>紅線</t>
        </is>
      </c>
      <c r="B6" s="105" t="n">
        <v>1200</v>
      </c>
      <c r="C6" s="106" t="n">
        <v>24000</v>
      </c>
      <c r="D6" s="105" t="n">
        <v>300</v>
      </c>
      <c r="E6" s="106" t="n">
        <v>6000</v>
      </c>
      <c r="F6" s="105" t="n">
        <v>150</v>
      </c>
      <c r="G6" s="106" t="n">
        <v>3000</v>
      </c>
      <c r="H6" s="105" t="n">
        <v>80</v>
      </c>
      <c r="I6" s="106" t="n">
        <v>1600</v>
      </c>
      <c r="J6" s="106" t="n">
        <v>34600</v>
      </c>
    </row>
    <row r="7">
      <c r="A7" s="104" t="inlineStr">
        <is>
          <t>藍線</t>
        </is>
      </c>
      <c r="B7" s="105" t="n">
        <v>980</v>
      </c>
      <c r="C7" s="106" t="n">
        <v>19600</v>
      </c>
      <c r="D7" s="105" t="n">
        <v>250</v>
      </c>
      <c r="E7" s="106" t="n">
        <v>5000</v>
      </c>
      <c r="F7" s="105" t="n">
        <v>120</v>
      </c>
      <c r="G7" s="106" t="n">
        <v>2400</v>
      </c>
      <c r="H7" s="105" t="n">
        <v>60</v>
      </c>
      <c r="I7" s="106" t="n">
        <v>1200</v>
      </c>
      <c r="J7" s="106" t="n">
        <v>28200</v>
      </c>
    </row>
    <row r="8">
      <c r="A8" s="104" t="inlineStr">
        <is>
          <t>綠線</t>
        </is>
      </c>
      <c r="B8" s="105" t="n">
        <v>1150</v>
      </c>
      <c r="C8" s="106" t="n">
        <v>23000</v>
      </c>
      <c r="D8" s="105" t="n">
        <v>320</v>
      </c>
      <c r="E8" s="106" t="n">
        <v>6400</v>
      </c>
      <c r="F8" s="105" t="n">
        <v>180</v>
      </c>
      <c r="G8" s="106" t="n">
        <v>3600</v>
      </c>
      <c r="H8" s="105" t="n">
        <v>90</v>
      </c>
      <c r="I8" s="106" t="n">
        <v>1800</v>
      </c>
      <c r="J8" s="106" t="n">
        <v>34800</v>
      </c>
    </row>
    <row r="9"/>
    <row r="10">
      <c r="B10" s="69" t="n"/>
      <c r="C10" s="69" t="n"/>
    </row>
  </sheetData>
  <mergeCells count="2">
    <mergeCell ref="A1:J1"/>
    <mergeCell ref="A2:J2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4"/>
  <sheetViews>
    <sheetView zoomScale="70" zoomScaleNormal="70" workbookViewId="0">
      <selection activeCell="A9" sqref="A9:B9"/>
    </sheetView>
  </sheetViews>
  <sheetFormatPr baseColWidth="8" defaultColWidth="9" defaultRowHeight="16.2"/>
  <cols>
    <col width="3.88671875" bestFit="1" customWidth="1" style="71" min="1" max="1"/>
    <col width="27.5546875" bestFit="1" customWidth="1" style="71" min="2" max="2"/>
    <col width="21" bestFit="1" customWidth="1" style="71" min="3" max="3"/>
    <col width="12" customWidth="1" style="71" min="4" max="4"/>
    <col width="9" customWidth="1" style="71" min="5" max="5"/>
    <col width="13.21875" customWidth="1" style="71" min="6" max="8"/>
    <col width="9" customWidth="1" style="71" min="9" max="9"/>
    <col width="13.21875" customWidth="1" style="71" min="10" max="25"/>
    <col width="9" customWidth="1" style="71" min="26" max="28"/>
    <col width="9" customWidth="1" style="71" min="29" max="16384"/>
  </cols>
  <sheetData>
    <row r="1" ht="83.40000000000001" customHeight="1" s="1">
      <c r="C1" s="70" t="inlineStr">
        <is>
          <t>DEMO Inc.
城市通行Monthly Report on Fare Difference Subsidy for Public Transport Period Tickets</t>
        </is>
      </c>
    </row>
    <row r="2">
      <c r="B2" s="3" t="inlineStr">
        <is>
          <t>清分日期：</t>
        </is>
      </c>
      <c r="C2" s="71" t="inlineStr">
        <is>
          <t>2024年6月30日</t>
        </is>
      </c>
    </row>
    <row r="3">
      <c r="B3" s="3" t="n"/>
    </row>
    <row r="4" ht="39.9" customHeight="1" s="1">
      <c r="B4" s="82" t="inlineStr">
        <is>
          <t>票收總額
(A)</t>
        </is>
      </c>
      <c r="C4" s="82" t="inlineStr">
        <is>
          <t>發行成本
(B)</t>
        </is>
      </c>
      <c r="D4" s="82" t="inlineStr">
        <is>
          <t>票收可撥款金額
(C)=(A-B)</t>
        </is>
      </c>
      <c r="E4" s="77" t="n"/>
    </row>
    <row r="5">
      <c r="B5" s="80" t="inlineStr">
        <is>
          <t>5000000</t>
        </is>
      </c>
      <c r="C5" s="80" t="inlineStr">
        <is>
          <t>800000</t>
        </is>
      </c>
      <c r="D5" s="80">
        <f>B5-C5</f>
        <v/>
      </c>
      <c r="E5" s="77" t="n"/>
    </row>
    <row r="6"/>
    <row r="7" ht="33" customHeight="1" s="1">
      <c r="A7" s="72" t="inlineStr">
        <is>
          <t>業者</t>
        </is>
      </c>
      <c r="B7" s="73" t="n"/>
      <c r="C7" s="72" t="inlineStr">
        <is>
          <t>行政區劃</t>
        </is>
      </c>
      <c r="D7" s="72" t="inlineStr">
        <is>
          <t>營收款(D)</t>
        </is>
      </c>
      <c r="E7" s="83" t="n"/>
      <c r="F7" s="77" t="n"/>
      <c r="G7" s="76" t="inlineStr">
        <is>
          <t>分配票收
F=(C*E)</t>
        </is>
      </c>
      <c r="H7" s="76" t="inlineStr">
        <is>
          <t>差額補貼款
G=(D-F)</t>
        </is>
      </c>
      <c r="I7" s="76" t="inlineStr">
        <is>
          <t>中央差額補貼款
(G1=G*H)</t>
        </is>
      </c>
      <c r="J7" s="77" t="n"/>
      <c r="K7" s="76" t="inlineStr">
        <is>
          <t>地方</t>
        </is>
      </c>
    </row>
    <row r="8" ht="29.4" customHeight="1" s="1">
      <c r="A8" s="74" t="n"/>
      <c r="B8" s="75" t="n"/>
      <c r="C8" s="81" t="n"/>
      <c r="D8" s="72" t="inlineStr">
        <is>
          <t>比例(E)</t>
        </is>
      </c>
      <c r="E8" s="72" t="inlineStr">
        <is>
          <t>筆數</t>
        </is>
      </c>
      <c r="F8" s="72" t="inlineStr">
        <is>
          <t>金額</t>
        </is>
      </c>
      <c r="G8" s="72" t="inlineStr">
        <is>
          <t>金額</t>
        </is>
      </c>
      <c r="H8" s="72" t="inlineStr">
        <is>
          <t>金額</t>
        </is>
      </c>
      <c r="I8" s="72" t="inlineStr">
        <is>
          <t>比例(H)</t>
        </is>
      </c>
      <c r="J8" s="72" t="inlineStr">
        <is>
          <t>金額(G1)</t>
        </is>
      </c>
      <c r="K8" s="107" t="inlineStr">
        <is>
          <t>金額</t>
        </is>
      </c>
    </row>
    <row r="9">
      <c r="A9" s="108" t="inlineStr">
        <is>
          <t>A公司</t>
        </is>
      </c>
      <c r="B9" s="79" t="n"/>
      <c r="C9" s="108" t="inlineStr">
        <is>
          <t>中央區</t>
        </is>
      </c>
      <c r="D9" s="109" t="n">
        <v>0.3</v>
      </c>
      <c r="E9" s="110" t="n">
        <v>1200</v>
      </c>
      <c r="F9" s="111" t="n">
        <v>1500000</v>
      </c>
      <c r="G9" s="111" t="n">
        <v>1260000</v>
      </c>
      <c r="H9" s="111" t="n">
        <v>240000</v>
      </c>
      <c r="I9" s="112" t="n">
        <v>0.6</v>
      </c>
      <c r="J9" s="111" t="n">
        <v>144000</v>
      </c>
      <c r="K9" s="113" t="n">
        <v>0</v>
      </c>
    </row>
    <row r="10">
      <c r="A10" s="108" t="inlineStr">
        <is>
          <t>B公司</t>
        </is>
      </c>
      <c r="B10" s="79" t="n"/>
      <c r="C10" s="108" t="inlineStr">
        <is>
          <t>東區</t>
        </is>
      </c>
      <c r="D10" s="109" t="n">
        <v>0.25</v>
      </c>
      <c r="E10" s="110" t="n">
        <v>980</v>
      </c>
      <c r="F10" s="111" t="n">
        <v>1200000</v>
      </c>
      <c r="G10" s="111" t="n">
        <v>1050000</v>
      </c>
      <c r="H10" s="111" t="n">
        <v>150000</v>
      </c>
      <c r="I10" s="112" t="n">
        <v>0.6</v>
      </c>
      <c r="J10" s="111" t="n">
        <v>90000</v>
      </c>
      <c r="K10" s="113" t="n">
        <v>0</v>
      </c>
    </row>
    <row r="11">
      <c r="A11" s="108" t="inlineStr">
        <is>
          <t>C公司</t>
        </is>
      </c>
      <c r="B11" s="79" t="n"/>
      <c r="C11" s="108" t="inlineStr">
        <is>
          <t>西區</t>
        </is>
      </c>
      <c r="D11" s="109" t="n">
        <v>0.45</v>
      </c>
      <c r="E11" s="110" t="n">
        <v>1350</v>
      </c>
      <c r="F11" s="111" t="n">
        <v>1800000</v>
      </c>
      <c r="G11" s="111" t="n">
        <v>1890000</v>
      </c>
      <c r="H11" s="111" t="n">
        <v>-90000</v>
      </c>
      <c r="I11" s="112" t="n">
        <v>0</v>
      </c>
      <c r="J11" s="111" t="n">
        <v>0</v>
      </c>
      <c r="K11" s="113" t="n">
        <v>0</v>
      </c>
    </row>
    <row r="12"/>
    <row r="13">
      <c r="A13" s="92" t="n"/>
    </row>
    <row r="14">
      <c r="A14" s="92" t="n"/>
    </row>
    <row r="15">
      <c r="A15" s="92" t="n"/>
    </row>
    <row r="16">
      <c r="A16" s="92" t="n"/>
    </row>
    <row r="17">
      <c r="A17" s="92" t="n"/>
    </row>
    <row r="18">
      <c r="A18" s="92" t="n"/>
    </row>
    <row r="19">
      <c r="A19" s="92" t="n"/>
    </row>
    <row r="20">
      <c r="A20" s="92" t="n"/>
    </row>
    <row r="21">
      <c r="A21" s="92" t="n"/>
    </row>
    <row r="22">
      <c r="A22" s="92" t="n"/>
    </row>
    <row r="23">
      <c r="A23" s="92" t="n"/>
    </row>
    <row r="24">
      <c r="A24" s="92" t="n"/>
    </row>
    <row r="25">
      <c r="A25" s="92" t="n"/>
    </row>
    <row r="26">
      <c r="A26" s="92" t="n"/>
    </row>
    <row r="27">
      <c r="A27" s="92" t="n"/>
    </row>
    <row r="28">
      <c r="A28" s="92" t="n"/>
    </row>
    <row r="29">
      <c r="A29" s="92" t="n"/>
    </row>
    <row r="30">
      <c r="A30" s="92" t="n"/>
    </row>
    <row r="31">
      <c r="A31" s="92" t="n"/>
    </row>
    <row r="32">
      <c r="A32" s="92" t="n"/>
    </row>
    <row r="33">
      <c r="A33" s="92" t="n"/>
    </row>
    <row r="34">
      <c r="A34" s="92" t="n"/>
    </row>
    <row r="35">
      <c r="A35" s="92" t="n"/>
    </row>
    <row r="36">
      <c r="A36" s="92" t="n"/>
    </row>
    <row r="37">
      <c r="A37" s="92" t="n"/>
    </row>
    <row r="38">
      <c r="A38" s="92" t="n"/>
    </row>
    <row r="39">
      <c r="A39" s="92" t="n"/>
    </row>
    <row r="40">
      <c r="A40" s="92" t="n"/>
    </row>
    <row r="41">
      <c r="A41" s="92" t="n"/>
    </row>
    <row r="42">
      <c r="A42" s="92" t="n"/>
    </row>
    <row r="43">
      <c r="A43" s="92" t="n"/>
    </row>
    <row r="44">
      <c r="A44" s="92" t="n"/>
    </row>
    <row r="45">
      <c r="A45" s="92" t="n"/>
    </row>
    <row r="46">
      <c r="A46" s="92" t="n"/>
    </row>
    <row r="47">
      <c r="A47" s="92" t="n"/>
    </row>
    <row r="48">
      <c r="A48" s="92" t="n"/>
    </row>
    <row r="49">
      <c r="A49" s="92" t="n"/>
    </row>
    <row r="50">
      <c r="A50" s="92" t="n"/>
    </row>
    <row r="51">
      <c r="A51" s="92" t="n"/>
    </row>
    <row r="52">
      <c r="A52" s="92" t="n"/>
    </row>
    <row r="53">
      <c r="A53" s="92" t="n"/>
    </row>
    <row r="54">
      <c r="A54" s="92" t="n"/>
    </row>
    <row r="55">
      <c r="A55" s="92" t="n"/>
    </row>
    <row r="56">
      <c r="A56" s="92" t="n"/>
    </row>
    <row r="57">
      <c r="A57" s="92" t="n"/>
    </row>
    <row r="58">
      <c r="A58" s="92" t="n"/>
    </row>
    <row r="59">
      <c r="A59" s="92" t="n"/>
    </row>
    <row r="60">
      <c r="A60" s="92" t="n"/>
    </row>
    <row r="61">
      <c r="A61" s="92" t="n"/>
    </row>
    <row r="62">
      <c r="A62" s="92" t="n"/>
    </row>
    <row r="63">
      <c r="A63" s="92" t="n"/>
    </row>
    <row r="64">
      <c r="A64" s="92" t="n"/>
    </row>
    <row r="65">
      <c r="A65" s="92" t="n"/>
    </row>
    <row r="66">
      <c r="A66" s="92" t="n"/>
    </row>
    <row r="67">
      <c r="A67" s="92" t="n"/>
    </row>
    <row r="68">
      <c r="A68" s="92" t="n"/>
    </row>
    <row r="69">
      <c r="A69" s="92" t="n"/>
    </row>
    <row r="70">
      <c r="A70" s="92" t="n"/>
    </row>
    <row r="71">
      <c r="A71" s="92" t="n"/>
    </row>
    <row r="72">
      <c r="A72" s="92" t="n"/>
    </row>
    <row r="73">
      <c r="A73" s="92" t="n"/>
    </row>
    <row r="74">
      <c r="A74" s="92" t="n"/>
    </row>
    <row r="75">
      <c r="A75" s="92" t="n"/>
    </row>
    <row r="76">
      <c r="A76" s="92" t="n"/>
    </row>
    <row r="77">
      <c r="A77" s="92" t="n"/>
    </row>
    <row r="78">
      <c r="A78" s="92" t="n"/>
    </row>
    <row r="79">
      <c r="A79" s="92" t="n"/>
    </row>
    <row r="80">
      <c r="A80" s="92" t="n"/>
    </row>
    <row r="81">
      <c r="A81" s="92" t="n"/>
    </row>
    <row r="82">
      <c r="A82" s="92" t="n"/>
    </row>
    <row r="83">
      <c r="A83" s="92" t="n"/>
    </row>
    <row r="84">
      <c r="A84" s="92" t="n"/>
    </row>
    <row r="85">
      <c r="A85" s="92" t="n"/>
    </row>
    <row r="86">
      <c r="A86" s="92" t="n"/>
    </row>
    <row r="87">
      <c r="A87" s="92" t="n"/>
    </row>
    <row r="88">
      <c r="A88" s="92" t="n"/>
    </row>
    <row r="89">
      <c r="A89" s="92" t="n"/>
    </row>
    <row r="90">
      <c r="A90" s="92" t="n"/>
    </row>
    <row r="91">
      <c r="A91" s="92" t="n"/>
    </row>
    <row r="92">
      <c r="A92" s="92" t="n"/>
    </row>
    <row r="93">
      <c r="A93" s="92" t="n"/>
    </row>
    <row r="94">
      <c r="A94" s="92" t="n"/>
    </row>
  </sheetData>
  <mergeCells count="10">
    <mergeCell ref="C1:K1"/>
    <mergeCell ref="A7:B8"/>
    <mergeCell ref="I7:J7"/>
    <mergeCell ref="A9:B9"/>
    <mergeCell ref="A11:B11"/>
    <mergeCell ref="D5:E5"/>
    <mergeCell ref="A10:B10"/>
    <mergeCell ref="C7:C8"/>
    <mergeCell ref="D4:E4"/>
    <mergeCell ref="D7:F7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5"/>
  <sheetViews>
    <sheetView tabSelected="1" zoomScale="55" zoomScaleNormal="55" workbookViewId="0">
      <selection activeCell="H25" sqref="H25"/>
    </sheetView>
  </sheetViews>
  <sheetFormatPr baseColWidth="8" defaultColWidth="9" defaultRowHeight="16.2"/>
  <cols>
    <col width="12.77734375" bestFit="1" customWidth="1" style="1" min="1" max="1"/>
    <col width="10.44140625" bestFit="1" customWidth="1" style="1" min="2" max="2"/>
    <col width="41.6640625" bestFit="1" customWidth="1" style="1" min="3" max="3"/>
    <col width="19" bestFit="1" customWidth="1" style="1" min="4" max="4"/>
    <col width="19.109375" bestFit="1" customWidth="1" style="1" min="5" max="5"/>
    <col width="19.21875" bestFit="1" customWidth="1" style="1" min="6" max="6"/>
    <col width="24.33203125" bestFit="1" customWidth="1" style="1" min="7" max="7"/>
    <col width="18.6640625" bestFit="1" customWidth="1" style="1" min="8" max="8"/>
    <col width="26" bestFit="1" customWidth="1" style="1" min="9" max="9"/>
    <col width="14.33203125" customWidth="1" style="1" min="10" max="10"/>
    <col width="16.77734375" customWidth="1" style="1" min="11" max="11"/>
    <col width="15.44140625" customWidth="1" style="1" min="12" max="12"/>
    <col width="14.6640625" customWidth="1" style="1" min="13" max="13"/>
  </cols>
  <sheetData>
    <row r="1" ht="16.8" customHeight="1" s="1" thickBot="1">
      <c r="A1" s="87" t="inlineStr">
        <is>
          <t>表四         2024年7月(統一測試操作員)所營路線學生卡價差補貼款申請表</t>
        </is>
      </c>
      <c r="B1" s="88" t="n"/>
      <c r="C1" s="88" t="n"/>
      <c r="D1" s="88" t="n"/>
      <c r="E1" s="88" t="n"/>
      <c r="F1" s="88" t="n"/>
      <c r="G1" s="88" t="n"/>
      <c r="H1" s="88" t="n"/>
      <c r="I1" s="88" t="n"/>
      <c r="J1" s="88" t="n"/>
      <c r="K1" s="88" t="n"/>
      <c r="L1" s="88" t="n"/>
      <c r="M1" s="88" t="n"/>
    </row>
    <row r="2" ht="48.6" customHeight="1" s="1">
      <c r="A2" s="18" t="inlineStr">
        <is>
          <t>路線IC代碼</t>
        </is>
      </c>
      <c r="B2" s="19" t="inlineStr">
        <is>
          <t>路線編號</t>
        </is>
      </c>
      <c r="C2" s="19" t="inlineStr">
        <is>
          <t>路線名稱</t>
        </is>
      </c>
      <c r="D2" s="114" t="inlineStr">
        <is>
          <t>學生刷卡旅次量
A=IC學生票刷卡量</t>
        </is>
      </c>
      <c r="E2" s="114" t="inlineStr">
        <is>
          <t>市民卡(學生卡)
應收總金額(元)
B=市民卡營收金額</t>
        </is>
      </c>
      <c r="F2" s="114" t="inlineStr">
        <is>
          <t>市民卡(學生卡)
實際營收金額(元)
C=學生票營收金額</t>
        </is>
      </c>
      <c r="G2" s="115" t="inlineStr">
        <is>
          <t>市民卡(學生卡)基本里程優惠金額(元)D</t>
        </is>
      </c>
      <c r="H2" s="116" t="inlineStr">
        <is>
          <t>票價上限補貼金額(元)E</t>
        </is>
      </c>
      <c r="I2" s="20" t="inlineStr">
        <is>
          <t>學生卡25折補助金額(元)F
F=B-C-D-E-G-H-I-J</t>
        </is>
      </c>
      <c r="J2" s="20" t="inlineStr">
        <is>
          <t>捷運轉乘優惠補貼金額(元)G</t>
        </is>
      </c>
      <c r="K2" s="20" t="inlineStr">
        <is>
          <t>A22-A23區間優惠補貼金額(元)H</t>
        </is>
      </c>
      <c r="L2" s="20" t="inlineStr">
        <is>
          <t>國道及台鐵轉乘市區客運優惠金額(元)I</t>
        </is>
      </c>
      <c r="M2" s="21" t="inlineStr">
        <is>
          <t>其它補貼(元)J</t>
        </is>
      </c>
    </row>
    <row r="3">
      <c r="A3" s="117" t="inlineStr">
        <is>
          <t>R001</t>
        </is>
      </c>
      <c r="B3" s="117" t="inlineStr">
        <is>
          <t>101</t>
        </is>
      </c>
      <c r="C3" s="118" t="inlineStr">
        <is>
          <t>市中心線</t>
        </is>
      </c>
      <c r="D3" s="119" t="n">
        <v>2500</v>
      </c>
      <c r="E3" s="119" t="n">
        <v>125000</v>
      </c>
      <c r="F3" s="119" t="n">
        <v>100000</v>
      </c>
      <c r="G3" s="119" t="n">
        <v>12500</v>
      </c>
      <c r="H3" s="119" t="n">
        <v>7500</v>
      </c>
      <c r="I3" s="119" t="n">
        <v>5000</v>
      </c>
      <c r="J3" s="120" t="n">
        <v>3000</v>
      </c>
      <c r="K3" s="120" t="n">
        <v>0</v>
      </c>
      <c r="L3" s="120" t="n">
        <v>0</v>
      </c>
      <c r="M3" s="120" t="n">
        <v>0</v>
      </c>
    </row>
    <row r="4" ht="16.8" customHeight="1" s="1" thickBot="1">
      <c r="A4" s="117" t="inlineStr">
        <is>
          <t>R002</t>
        </is>
      </c>
      <c r="B4" s="117" t="inlineStr">
        <is>
          <t>102</t>
        </is>
      </c>
      <c r="C4" s="118" t="inlineStr">
        <is>
          <t>工業區線</t>
        </is>
      </c>
      <c r="D4" s="119" t="n">
        <v>1800</v>
      </c>
      <c r="E4" s="119" t="n">
        <v>90000</v>
      </c>
      <c r="F4" s="119" t="n">
        <v>72000</v>
      </c>
      <c r="G4" s="119" t="n">
        <v>9000</v>
      </c>
      <c r="H4" s="119" t="n">
        <v>5400</v>
      </c>
      <c r="I4" s="119" t="n">
        <v>3600</v>
      </c>
      <c r="J4" s="120" t="n">
        <v>2160</v>
      </c>
      <c r="K4" s="120" t="n">
        <v>0</v>
      </c>
      <c r="L4" s="120" t="n">
        <v>0</v>
      </c>
      <c r="M4" s="120" t="n">
        <v>0</v>
      </c>
    </row>
    <row r="5">
      <c r="A5" s="117" t="inlineStr">
        <is>
          <t>R003</t>
        </is>
      </c>
      <c r="B5" s="117" t="inlineStr">
        <is>
          <t>103</t>
        </is>
      </c>
      <c r="C5" s="118" t="inlineStr">
        <is>
          <t>住宅區線</t>
        </is>
      </c>
      <c r="D5" s="119" t="n">
        <v>2200</v>
      </c>
      <c r="E5" s="119" t="n">
        <v>110000</v>
      </c>
      <c r="F5" s="119" t="n">
        <v>88000</v>
      </c>
      <c r="G5" s="119" t="n">
        <v>11000</v>
      </c>
      <c r="H5" s="119" t="n">
        <v>6600</v>
      </c>
      <c r="I5" s="119" t="n">
        <v>4400</v>
      </c>
      <c r="J5" s="120" t="n">
        <v>2640</v>
      </c>
      <c r="K5" s="120" t="n">
        <v>0</v>
      </c>
      <c r="L5" s="120" t="n">
        <v>0</v>
      </c>
      <c r="M5" s="120" t="n">
        <v>0</v>
      </c>
    </row>
    <row r="6">
      <c r="A6" s="84" t="inlineStr">
        <is>
          <t>路線合計</t>
        </is>
      </c>
      <c r="B6" s="85" t="n"/>
      <c r="C6" s="86" t="n"/>
      <c r="D6" s="121">
        <f>SUM(D3:D3)</f>
        <v/>
      </c>
      <c r="E6" s="121">
        <f>SUM(E3:E3)</f>
        <v/>
      </c>
      <c r="F6" s="121">
        <f>SUM(F3:F3)</f>
        <v/>
      </c>
      <c r="G6" s="121">
        <f>SUM(G3:G3)</f>
        <v/>
      </c>
      <c r="H6" s="121">
        <f>SUM(H3:H3)</f>
        <v/>
      </c>
      <c r="I6" s="121">
        <f>SUM(I3:I3)</f>
        <v/>
      </c>
      <c r="J6" s="121">
        <f>SUM(J3:J3)</f>
        <v/>
      </c>
      <c r="K6" s="121">
        <f>SUM(K3:K3)</f>
        <v/>
      </c>
      <c r="L6" s="121">
        <f>SUM(L3:L3)</f>
        <v/>
      </c>
      <c r="M6" s="121">
        <f>SUM(M3:M3)</f>
        <v/>
      </c>
    </row>
    <row r="7">
      <c r="B7" s="71" t="n"/>
      <c r="G7" s="122" t="n"/>
    </row>
    <row r="8">
      <c r="B8" s="71" t="n"/>
      <c r="I8" s="122" t="n"/>
    </row>
    <row r="9">
      <c r="B9" s="71" t="n"/>
    </row>
    <row r="10">
      <c r="A10" s="71" t="inlineStr">
        <is>
          <t>客運公司大小章：</t>
        </is>
      </c>
      <c r="G10" s="71" t="inlineStr">
        <is>
          <t>票證公司大小章：</t>
        </is>
      </c>
      <c r="H10" s="71" t="n"/>
    </row>
    <row r="11">
      <c r="B11" s="71" t="n"/>
    </row>
    <row r="12">
      <c r="B12" s="71" t="n"/>
    </row>
    <row r="13"/>
    <row r="14"/>
    <row r="15"/>
    <row r="16"/>
    <row r="17"/>
    <row r="18">
      <c r="B18" s="71" t="n"/>
      <c r="C18" s="71" t="n"/>
      <c r="D18" s="71" t="n"/>
      <c r="E18" s="71" t="n"/>
      <c r="F18" s="71" t="n"/>
      <c r="G18" s="71" t="n"/>
      <c r="H18" s="71" t="n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D55" s="122" t="n"/>
    </row>
  </sheetData>
  <mergeCells count="2">
    <mergeCell ref="A6:C6"/>
    <mergeCell ref="A1:M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8"/>
  <sheetViews>
    <sheetView zoomScale="85" zoomScaleNormal="85" workbookViewId="0">
      <selection activeCell="A19" sqref="A19"/>
    </sheetView>
  </sheetViews>
  <sheetFormatPr baseColWidth="8" defaultRowHeight="16.2"/>
  <sheetData>
    <row r="1">
      <c r="A1" s="91" t="inlineStr">
        <is>
          <t>愛心卡-2024年1月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77" t="n"/>
    </row>
    <row r="2">
      <c r="A2" s="90" t="inlineStr">
        <is>
          <t>年齡</t>
        </is>
      </c>
      <c r="B2" s="89" t="inlineStr">
        <is>
          <t>公車</t>
        </is>
      </c>
      <c r="C2" s="77" t="n"/>
      <c r="D2" s="89" t="inlineStr">
        <is>
          <t>愛心計程車</t>
        </is>
      </c>
      <c r="E2" s="77" t="n"/>
      <c r="F2" s="89" t="inlineStr">
        <is>
          <t>桃園捷運</t>
        </is>
      </c>
      <c r="G2" s="77" t="n"/>
      <c r="H2" s="89" t="inlineStr">
        <is>
          <t>台鐵</t>
        </is>
      </c>
      <c r="I2" s="77" t="n"/>
      <c r="J2" s="89" t="inlineStr">
        <is>
          <t>運動中心</t>
        </is>
      </c>
      <c r="K2" s="77" t="n"/>
      <c r="L2" s="89" t="inlineStr">
        <is>
          <t>活動中心</t>
        </is>
      </c>
      <c r="M2" s="77" t="n"/>
    </row>
    <row r="3">
      <c r="A3" s="81" t="n"/>
      <c r="B3" s="89" t="inlineStr">
        <is>
          <t>次數</t>
        </is>
      </c>
      <c r="C3" s="89" t="inlineStr">
        <is>
          <t>點數</t>
        </is>
      </c>
      <c r="D3" s="89" t="inlineStr">
        <is>
          <t>次數</t>
        </is>
      </c>
      <c r="E3" s="89" t="inlineStr">
        <is>
          <t>點數</t>
        </is>
      </c>
      <c r="F3" s="89" t="inlineStr">
        <is>
          <t>次數</t>
        </is>
      </c>
      <c r="G3" s="89" t="inlineStr">
        <is>
          <t>點數</t>
        </is>
      </c>
      <c r="H3" s="89" t="inlineStr">
        <is>
          <t>次數</t>
        </is>
      </c>
      <c r="I3" s="89" t="inlineStr">
        <is>
          <t>點數</t>
        </is>
      </c>
      <c r="J3" s="89" t="inlineStr">
        <is>
          <t>次數</t>
        </is>
      </c>
      <c r="K3" s="89" t="inlineStr">
        <is>
          <t>點數</t>
        </is>
      </c>
      <c r="L3" s="89" t="inlineStr">
        <is>
          <t>次數</t>
        </is>
      </c>
      <c r="M3" s="89" t="inlineStr">
        <is>
          <t>點數</t>
        </is>
      </c>
    </row>
    <row r="4">
      <c r="A4" s="123" t="inlineStr">
        <is>
          <t>65-74</t>
        </is>
      </c>
      <c r="B4" s="123" t="n">
        <v>1200</v>
      </c>
      <c r="C4" s="123" t="n">
        <v>24000</v>
      </c>
      <c r="D4" s="123" t="n">
        <v>150</v>
      </c>
      <c r="E4" s="123" t="n">
        <v>7500</v>
      </c>
      <c r="F4" s="123" t="n">
        <v>300</v>
      </c>
      <c r="G4" s="123" t="n">
        <v>6000</v>
      </c>
      <c r="H4" s="123" t="n">
        <v>80</v>
      </c>
      <c r="I4" s="123" t="n">
        <v>1600</v>
      </c>
      <c r="J4" s="123" t="n">
        <v>40</v>
      </c>
      <c r="K4" s="123" t="n">
        <v>0</v>
      </c>
      <c r="L4" s="123" t="n">
        <v>0</v>
      </c>
      <c r="M4" s="123" t="n">
        <v>0</v>
      </c>
    </row>
    <row r="5">
      <c r="A5" s="123" t="inlineStr">
        <is>
          <t>75-84</t>
        </is>
      </c>
      <c r="B5" s="123" t="n">
        <v>800</v>
      </c>
      <c r="C5" s="123" t="n">
        <v>16000</v>
      </c>
      <c r="D5" s="123" t="n">
        <v>100</v>
      </c>
      <c r="E5" s="123" t="n">
        <v>5000</v>
      </c>
      <c r="F5" s="123" t="n">
        <v>200</v>
      </c>
      <c r="G5" s="123" t="n">
        <v>4000</v>
      </c>
      <c r="H5" s="123" t="n">
        <v>50</v>
      </c>
      <c r="I5" s="123" t="n">
        <v>1000</v>
      </c>
      <c r="J5" s="123" t="n">
        <v>25</v>
      </c>
      <c r="K5" s="123" t="n">
        <v>0</v>
      </c>
      <c r="L5" s="123" t="n">
        <v>0</v>
      </c>
      <c r="M5" s="123" t="n">
        <v>0</v>
      </c>
    </row>
    <row r="6">
      <c r="A6" s="123" t="inlineStr">
        <is>
          <t>85+</t>
        </is>
      </c>
      <c r="B6" s="123" t="n">
        <v>300</v>
      </c>
      <c r="C6" s="123" t="n">
        <v>6000</v>
      </c>
      <c r="D6" s="123" t="n">
        <v>50</v>
      </c>
      <c r="E6" s="123" t="n">
        <v>2500</v>
      </c>
      <c r="F6" s="123" t="n">
        <v>80</v>
      </c>
      <c r="G6" s="123" t="n">
        <v>1600</v>
      </c>
      <c r="H6" s="123" t="n">
        <v>20</v>
      </c>
      <c r="I6" s="123" t="n">
        <v>400</v>
      </c>
      <c r="J6" s="123" t="n">
        <v>10</v>
      </c>
      <c r="K6" s="123" t="n">
        <v>0</v>
      </c>
      <c r="L6" s="123" t="n">
        <v>0</v>
      </c>
      <c r="M6" s="123" t="n">
        <v>0</v>
      </c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</row>
    <row r="8">
      <c r="A8" s="91" t="inlineStr">
        <is>
          <t>愛心卡-2024年2月</t>
        </is>
      </c>
      <c r="B8" s="83" t="n"/>
      <c r="C8" s="83" t="n"/>
      <c r="D8" s="83" t="n"/>
      <c r="E8" s="83" t="n"/>
      <c r="F8" s="83" t="n"/>
      <c r="G8" s="83" t="n"/>
      <c r="H8" s="83" t="n"/>
      <c r="I8" s="83" t="n"/>
      <c r="J8" s="83" t="n"/>
      <c r="K8" s="83" t="n"/>
      <c r="L8" s="83" t="n"/>
      <c r="M8" s="77" t="n"/>
    </row>
    <row r="9">
      <c r="A9" s="90" t="inlineStr">
        <is>
          <t>年齡</t>
        </is>
      </c>
      <c r="B9" s="89" t="inlineStr">
        <is>
          <t>公車</t>
        </is>
      </c>
      <c r="C9" s="77" t="n"/>
      <c r="D9" s="89" t="inlineStr">
        <is>
          <t>愛心計程車</t>
        </is>
      </c>
      <c r="E9" s="77" t="n"/>
      <c r="F9" s="89" t="inlineStr">
        <is>
          <t>桃園捷運</t>
        </is>
      </c>
      <c r="G9" s="77" t="n"/>
      <c r="H9" s="89" t="inlineStr">
        <is>
          <t>台鐵</t>
        </is>
      </c>
      <c r="I9" s="77" t="n"/>
      <c r="J9" s="89" t="inlineStr">
        <is>
          <t>運動中心</t>
        </is>
      </c>
      <c r="K9" s="77" t="n"/>
      <c r="L9" s="89" t="inlineStr">
        <is>
          <t>活動中心</t>
        </is>
      </c>
      <c r="M9" s="77" t="n"/>
    </row>
    <row r="10">
      <c r="A10" s="81" t="n"/>
      <c r="B10" s="89" t="inlineStr">
        <is>
          <t>次數</t>
        </is>
      </c>
      <c r="C10" s="89" t="inlineStr">
        <is>
          <t>點數</t>
        </is>
      </c>
      <c r="D10" s="89" t="inlineStr">
        <is>
          <t>次數</t>
        </is>
      </c>
      <c r="E10" s="89" t="inlineStr">
        <is>
          <t>點數</t>
        </is>
      </c>
      <c r="F10" s="89" t="inlineStr">
        <is>
          <t>次數</t>
        </is>
      </c>
      <c r="G10" s="89" t="inlineStr">
        <is>
          <t>點數</t>
        </is>
      </c>
      <c r="H10" s="89" t="inlineStr">
        <is>
          <t>次數</t>
        </is>
      </c>
      <c r="I10" s="89" t="inlineStr">
        <is>
          <t>點數</t>
        </is>
      </c>
      <c r="J10" s="89" t="inlineStr">
        <is>
          <t>次數</t>
        </is>
      </c>
      <c r="K10" s="89" t="inlineStr">
        <is>
          <t>點數</t>
        </is>
      </c>
      <c r="L10" s="89" t="inlineStr">
        <is>
          <t>次數</t>
        </is>
      </c>
      <c r="M10" s="89" t="inlineStr">
        <is>
          <t>點數</t>
        </is>
      </c>
    </row>
    <row r="11">
      <c r="A11" s="123" t="inlineStr">
        <is>
          <t>65-74</t>
        </is>
      </c>
      <c r="B11" s="123" t="n">
        <v>1150</v>
      </c>
      <c r="C11" s="123" t="n">
        <v>23000</v>
      </c>
      <c r="D11" s="123" t="n">
        <v>140</v>
      </c>
      <c r="E11" s="123" t="n">
        <v>7000</v>
      </c>
      <c r="F11" s="123" t="n">
        <v>280</v>
      </c>
      <c r="G11" s="123" t="n">
        <v>5600</v>
      </c>
      <c r="H11" s="123" t="n">
        <v>75</v>
      </c>
      <c r="I11" s="123" t="n">
        <v>1500</v>
      </c>
      <c r="J11" s="123" t="n">
        <v>38</v>
      </c>
      <c r="K11" s="123" t="n">
        <v>0</v>
      </c>
      <c r="L11" s="123" t="n">
        <v>0</v>
      </c>
      <c r="M11" s="123" t="n">
        <v>0</v>
      </c>
    </row>
    <row r="12">
      <c r="A12" s="123" t="inlineStr">
        <is>
          <t>75-84</t>
        </is>
      </c>
      <c r="B12" s="123" t="n">
        <v>750</v>
      </c>
      <c r="C12" s="123" t="n">
        <v>15000</v>
      </c>
      <c r="D12" s="123" t="n">
        <v>95</v>
      </c>
      <c r="E12" s="123" t="n">
        <v>4750</v>
      </c>
      <c r="F12" s="123" t="n">
        <v>190</v>
      </c>
      <c r="G12" s="123" t="n">
        <v>3800</v>
      </c>
      <c r="H12" s="123" t="n">
        <v>45</v>
      </c>
      <c r="I12" s="123" t="n">
        <v>900</v>
      </c>
      <c r="J12" s="123" t="n">
        <v>22</v>
      </c>
      <c r="K12" s="123" t="n">
        <v>0</v>
      </c>
      <c r="L12" s="123" t="n">
        <v>0</v>
      </c>
      <c r="M12" s="123" t="n">
        <v>0</v>
      </c>
    </row>
    <row r="13">
      <c r="A13" s="123" t="inlineStr">
        <is>
          <t>85+</t>
        </is>
      </c>
      <c r="B13" s="123" t="n">
        <v>280</v>
      </c>
      <c r="C13" s="123" t="n">
        <v>5600</v>
      </c>
      <c r="D13" s="123" t="n">
        <v>45</v>
      </c>
      <c r="E13" s="123" t="n">
        <v>2250</v>
      </c>
      <c r="F13" s="123" t="n">
        <v>75</v>
      </c>
      <c r="G13" s="123" t="n">
        <v>1500</v>
      </c>
      <c r="H13" s="123" t="n">
        <v>18</v>
      </c>
      <c r="I13" s="123" t="n">
        <v>360</v>
      </c>
      <c r="J13" s="123" t="n">
        <v>8</v>
      </c>
      <c r="K13" s="123" t="n">
        <v>0</v>
      </c>
      <c r="L13" s="123" t="n">
        <v>0</v>
      </c>
      <c r="M13" s="123" t="n">
        <v>0</v>
      </c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</row>
    <row r="15">
      <c r="A15" s="91" t="inlineStr">
        <is>
          <t>愛心卡-2024年3月</t>
        </is>
      </c>
      <c r="B15" s="83" t="n"/>
      <c r="C15" s="83" t="n"/>
      <c r="D15" s="83" t="n"/>
      <c r="E15" s="83" t="n"/>
      <c r="F15" s="83" t="n"/>
      <c r="G15" s="83" t="n"/>
      <c r="H15" s="83" t="n"/>
      <c r="I15" s="83" t="n"/>
      <c r="J15" s="83" t="n"/>
      <c r="K15" s="83" t="n"/>
      <c r="L15" s="83" t="n"/>
      <c r="M15" s="77" t="n"/>
    </row>
    <row r="16">
      <c r="A16" s="90" t="inlineStr">
        <is>
          <t>年齡</t>
        </is>
      </c>
      <c r="B16" s="89" t="inlineStr">
        <is>
          <t>公車</t>
        </is>
      </c>
      <c r="C16" s="77" t="n"/>
      <c r="D16" s="89" t="inlineStr">
        <is>
          <t>愛心計程車</t>
        </is>
      </c>
      <c r="E16" s="77" t="n"/>
      <c r="F16" s="89" t="inlineStr">
        <is>
          <t>桃園捷運</t>
        </is>
      </c>
      <c r="G16" s="77" t="n"/>
      <c r="H16" s="89" t="inlineStr">
        <is>
          <t>台鐵</t>
        </is>
      </c>
      <c r="I16" s="77" t="n"/>
      <c r="J16" s="89" t="inlineStr">
        <is>
          <t>運動中心</t>
        </is>
      </c>
      <c r="K16" s="77" t="n"/>
      <c r="L16" s="89" t="inlineStr">
        <is>
          <t>活動中心</t>
        </is>
      </c>
      <c r="M16" s="77" t="n"/>
    </row>
    <row r="17">
      <c r="A17" s="81" t="n"/>
      <c r="B17" s="89" t="inlineStr">
        <is>
          <t>次數</t>
        </is>
      </c>
      <c r="C17" s="89" t="inlineStr">
        <is>
          <t>點數</t>
        </is>
      </c>
      <c r="D17" s="89" t="inlineStr">
        <is>
          <t>次數</t>
        </is>
      </c>
      <c r="E17" s="89" t="inlineStr">
        <is>
          <t>點數</t>
        </is>
      </c>
      <c r="F17" s="89" t="inlineStr">
        <is>
          <t>次數</t>
        </is>
      </c>
      <c r="G17" s="89" t="inlineStr">
        <is>
          <t>點數</t>
        </is>
      </c>
      <c r="H17" s="89" t="inlineStr">
        <is>
          <t>次數</t>
        </is>
      </c>
      <c r="I17" s="89" t="inlineStr">
        <is>
          <t>點數</t>
        </is>
      </c>
      <c r="J17" s="89" t="inlineStr">
        <is>
          <t>次數</t>
        </is>
      </c>
      <c r="K17" s="89" t="inlineStr">
        <is>
          <t>點數</t>
        </is>
      </c>
      <c r="L17" s="89" t="inlineStr">
        <is>
          <t>次數</t>
        </is>
      </c>
      <c r="M17" s="89" t="inlineStr">
        <is>
          <t>點數</t>
        </is>
      </c>
    </row>
    <row r="18">
      <c r="A18" s="123" t="inlineStr">
        <is>
          <t>65-74</t>
        </is>
      </c>
      <c r="B18" s="123" t="n">
        <v>1300</v>
      </c>
      <c r="C18" s="123" t="n">
        <v>26000</v>
      </c>
      <c r="D18" s="123" t="n">
        <v>160</v>
      </c>
      <c r="E18" s="123" t="n">
        <v>8000</v>
      </c>
      <c r="F18" s="123" t="n">
        <v>320</v>
      </c>
      <c r="G18" s="123" t="n">
        <v>6400</v>
      </c>
      <c r="H18" s="123" t="n">
        <v>85</v>
      </c>
      <c r="I18" s="123" t="n">
        <v>1700</v>
      </c>
      <c r="J18" s="123" t="n">
        <v>42</v>
      </c>
      <c r="K18" s="123" t="n">
        <v>0</v>
      </c>
      <c r="L18" s="123" t="n">
        <v>0</v>
      </c>
      <c r="M18" s="123" t="n">
        <v>0</v>
      </c>
    </row>
    <row r="19">
      <c r="A19" s="123" t="inlineStr">
        <is>
          <t>75-84</t>
        </is>
      </c>
      <c r="B19" s="123" t="n">
        <v>850</v>
      </c>
      <c r="C19" s="123" t="n">
        <v>17000</v>
      </c>
      <c r="D19" s="123" t="n">
        <v>110</v>
      </c>
      <c r="E19" s="123" t="n">
        <v>5500</v>
      </c>
      <c r="F19" s="123" t="n">
        <v>210</v>
      </c>
      <c r="G19" s="123" t="n">
        <v>4200</v>
      </c>
      <c r="H19" s="123" t="n">
        <v>55</v>
      </c>
      <c r="I19" s="123" t="n">
        <v>1100</v>
      </c>
      <c r="J19" s="123" t="n">
        <v>28</v>
      </c>
      <c r="K19" s="123" t="n">
        <v>0</v>
      </c>
      <c r="L19" s="123" t="n">
        <v>0</v>
      </c>
      <c r="M19" s="123" t="n">
        <v>0</v>
      </c>
    </row>
    <row r="20">
      <c r="A20" s="123" t="inlineStr">
        <is>
          <t>85+</t>
        </is>
      </c>
      <c r="B20" s="123" t="n">
        <v>320</v>
      </c>
      <c r="C20" s="123" t="n">
        <v>6400</v>
      </c>
      <c r="D20" s="123" t="n">
        <v>55</v>
      </c>
      <c r="E20" s="123" t="n">
        <v>2750</v>
      </c>
      <c r="F20" s="123" t="n">
        <v>85</v>
      </c>
      <c r="G20" s="123" t="n">
        <v>1700</v>
      </c>
      <c r="H20" s="123" t="n">
        <v>22</v>
      </c>
      <c r="I20" s="123" t="n">
        <v>440</v>
      </c>
      <c r="J20" s="123" t="n">
        <v>12</v>
      </c>
      <c r="K20" s="123" t="n">
        <v>0</v>
      </c>
      <c r="L20" s="123" t="n">
        <v>0</v>
      </c>
      <c r="M20" s="123" t="n">
        <v>0</v>
      </c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</row>
    <row r="22">
      <c r="A22" s="91" t="inlineStr">
        <is>
          <t>愛心卡-2024年4月</t>
        </is>
      </c>
      <c r="B22" s="83" t="n"/>
      <c r="C22" s="83" t="n"/>
      <c r="D22" s="83" t="n"/>
      <c r="E22" s="83" t="n"/>
      <c r="F22" s="83" t="n"/>
      <c r="G22" s="83" t="n"/>
      <c r="H22" s="83" t="n"/>
      <c r="I22" s="83" t="n"/>
      <c r="J22" s="83" t="n"/>
      <c r="K22" s="83" t="n"/>
      <c r="L22" s="83" t="n"/>
      <c r="M22" s="77" t="n"/>
    </row>
    <row r="23">
      <c r="A23" s="90" t="inlineStr">
        <is>
          <t>年齡</t>
        </is>
      </c>
      <c r="B23" s="89" t="inlineStr">
        <is>
          <t>公車</t>
        </is>
      </c>
      <c r="C23" s="77" t="n"/>
      <c r="D23" s="89" t="inlineStr">
        <is>
          <t>愛心計程車</t>
        </is>
      </c>
      <c r="E23" s="77" t="n"/>
      <c r="F23" s="89" t="inlineStr">
        <is>
          <t>桃園捷運</t>
        </is>
      </c>
      <c r="G23" s="77" t="n"/>
      <c r="H23" s="89" t="inlineStr">
        <is>
          <t>台鐵</t>
        </is>
      </c>
      <c r="I23" s="77" t="n"/>
      <c r="J23" s="89" t="inlineStr">
        <is>
          <t>運動中心</t>
        </is>
      </c>
      <c r="K23" s="77" t="n"/>
      <c r="L23" s="89" t="inlineStr">
        <is>
          <t>活動中心</t>
        </is>
      </c>
      <c r="M23" s="77" t="n"/>
    </row>
    <row r="24">
      <c r="A24" s="81" t="n"/>
      <c r="B24" s="89" t="inlineStr">
        <is>
          <t>次數</t>
        </is>
      </c>
      <c r="C24" s="89" t="inlineStr">
        <is>
          <t>點數</t>
        </is>
      </c>
      <c r="D24" s="89" t="inlineStr">
        <is>
          <t>次數</t>
        </is>
      </c>
      <c r="E24" s="89" t="inlineStr">
        <is>
          <t>點數</t>
        </is>
      </c>
      <c r="F24" s="89" t="inlineStr">
        <is>
          <t>次數</t>
        </is>
      </c>
      <c r="G24" s="89" t="inlineStr">
        <is>
          <t>點數</t>
        </is>
      </c>
      <c r="H24" s="89" t="inlineStr">
        <is>
          <t>次數</t>
        </is>
      </c>
      <c r="I24" s="89" t="inlineStr">
        <is>
          <t>點數</t>
        </is>
      </c>
      <c r="J24" s="89" t="inlineStr">
        <is>
          <t>次數</t>
        </is>
      </c>
      <c r="K24" s="89" t="inlineStr">
        <is>
          <t>點數</t>
        </is>
      </c>
      <c r="L24" s="89" t="inlineStr">
        <is>
          <t>次數</t>
        </is>
      </c>
      <c r="M24" s="89" t="inlineStr">
        <is>
          <t>點數</t>
        </is>
      </c>
    </row>
    <row r="25">
      <c r="A25" s="123" t="inlineStr">
        <is>
          <t>65-74</t>
        </is>
      </c>
      <c r="B25" s="123" t="n">
        <v>1250</v>
      </c>
      <c r="C25" s="123" t="n">
        <v>25000</v>
      </c>
      <c r="D25" s="123" t="n">
        <v>155</v>
      </c>
      <c r="E25" s="123" t="n">
        <v>7750</v>
      </c>
      <c r="F25" s="123" t="n">
        <v>310</v>
      </c>
      <c r="G25" s="123" t="n">
        <v>6200</v>
      </c>
      <c r="H25" s="123" t="n">
        <v>82</v>
      </c>
      <c r="I25" s="123" t="n">
        <v>1640</v>
      </c>
      <c r="J25" s="123" t="n">
        <v>41</v>
      </c>
      <c r="K25" s="123" t="n">
        <v>0</v>
      </c>
      <c r="L25" s="123" t="n">
        <v>0</v>
      </c>
      <c r="M25" s="123" t="n">
        <v>0</v>
      </c>
    </row>
    <row r="26">
      <c r="A26" s="123" t="inlineStr">
        <is>
          <t>75-84</t>
        </is>
      </c>
      <c r="B26" s="123" t="n">
        <v>820</v>
      </c>
      <c r="C26" s="123" t="n">
        <v>16400</v>
      </c>
      <c r="D26" s="123" t="n">
        <v>105</v>
      </c>
      <c r="E26" s="123" t="n">
        <v>5250</v>
      </c>
      <c r="F26" s="123" t="n">
        <v>200</v>
      </c>
      <c r="G26" s="123" t="n">
        <v>4000</v>
      </c>
      <c r="H26" s="123" t="n">
        <v>52</v>
      </c>
      <c r="I26" s="123" t="n">
        <v>1040</v>
      </c>
      <c r="J26" s="123" t="n">
        <v>26</v>
      </c>
      <c r="K26" s="123" t="n">
        <v>0</v>
      </c>
      <c r="L26" s="123" t="n">
        <v>0</v>
      </c>
      <c r="M26" s="123" t="n">
        <v>0</v>
      </c>
    </row>
    <row r="27">
      <c r="A27" s="123" t="inlineStr">
        <is>
          <t>85+</t>
        </is>
      </c>
      <c r="B27" s="123" t="n">
        <v>310</v>
      </c>
      <c r="C27" s="123" t="n">
        <v>6200</v>
      </c>
      <c r="D27" s="123" t="n">
        <v>52</v>
      </c>
      <c r="E27" s="123" t="n">
        <v>2600</v>
      </c>
      <c r="F27" s="123" t="n">
        <v>82</v>
      </c>
      <c r="G27" s="123" t="n">
        <v>1640</v>
      </c>
      <c r="H27" s="123" t="n">
        <v>21</v>
      </c>
      <c r="I27" s="123" t="n">
        <v>420</v>
      </c>
      <c r="J27" s="123" t="n">
        <v>11</v>
      </c>
      <c r="K27" s="123" t="n">
        <v>0</v>
      </c>
      <c r="L27" s="123" t="n">
        <v>0</v>
      </c>
      <c r="M27" s="123" t="n">
        <v>0</v>
      </c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</row>
  </sheetData>
  <mergeCells count="32">
    <mergeCell ref="L2:M2"/>
    <mergeCell ref="B16:C16"/>
    <mergeCell ref="F16:G16"/>
    <mergeCell ref="L16:M16"/>
    <mergeCell ref="A8:M8"/>
    <mergeCell ref="A22:M22"/>
    <mergeCell ref="A16:A17"/>
    <mergeCell ref="H9:I9"/>
    <mergeCell ref="J9:K9"/>
    <mergeCell ref="B2:C2"/>
    <mergeCell ref="D2:E2"/>
    <mergeCell ref="B23:C23"/>
    <mergeCell ref="A2:A3"/>
    <mergeCell ref="A15:M15"/>
    <mergeCell ref="L23:M23"/>
    <mergeCell ref="F2:G2"/>
    <mergeCell ref="D16:E16"/>
    <mergeCell ref="H2:I2"/>
    <mergeCell ref="A1:M1"/>
    <mergeCell ref="H16:I16"/>
    <mergeCell ref="J16:K16"/>
    <mergeCell ref="F23:G23"/>
    <mergeCell ref="A23:A24"/>
    <mergeCell ref="B9:C9"/>
    <mergeCell ref="D9:E9"/>
    <mergeCell ref="F9:G9"/>
    <mergeCell ref="L9:M9"/>
    <mergeCell ref="A9:A10"/>
    <mergeCell ref="J2:K2"/>
    <mergeCell ref="D23:E23"/>
    <mergeCell ref="H23:I23"/>
    <mergeCell ref="J23:K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0"/>
  <sheetViews>
    <sheetView zoomScale="55" zoomScaleNormal="55" workbookViewId="0">
      <selection activeCell="P29" sqref="P29"/>
    </sheetView>
  </sheetViews>
  <sheetFormatPr baseColWidth="8" defaultColWidth="9" defaultRowHeight="16.2"/>
  <cols>
    <col width="44.6640625" customWidth="1" style="71" min="1" max="1"/>
    <col width="15.33203125" customWidth="1" style="71" min="2" max="2"/>
    <col width="18.21875" bestFit="1" customWidth="1" style="71" min="3" max="3"/>
    <col width="17.109375" customWidth="1" style="71" min="4" max="6"/>
    <col width="16.88671875" customWidth="1" style="71" min="7" max="7"/>
    <col width="17.109375" customWidth="1" style="71" min="8" max="9"/>
    <col width="17.44140625" customWidth="1" style="71" min="10" max="12"/>
    <col width="9" customWidth="1" style="71" min="13" max="15"/>
    <col width="9" customWidth="1" style="71" min="16" max="16384"/>
  </cols>
  <sheetData>
    <row r="1" ht="97.2" customHeight="1" s="1">
      <c r="A1" s="99" t="inlineStr">
        <is>
          <t>城市通行公共運輸定期票
營收月報表(含差額補貼款)</t>
        </is>
      </c>
      <c r="H1" s="36" t="n"/>
      <c r="I1" s="36" t="n"/>
      <c r="J1" s="36" t="n"/>
      <c r="K1" s="36" t="n"/>
      <c r="L1" s="3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</row>
    <row r="2">
      <c r="A2" s="3" t="inlineStr">
        <is>
          <t>清分日期：</t>
        </is>
      </c>
      <c r="B2" s="71" t="inlineStr">
        <is>
          <t>2024年6月30日</t>
        </is>
      </c>
    </row>
    <row r="3" ht="16.8" customHeight="1" s="1" thickBot="1">
      <c r="A3" s="3" t="n"/>
    </row>
    <row r="4" ht="32.4" customHeight="1" s="1">
      <c r="A4" s="76" t="inlineStr">
        <is>
          <t>票收總額
(A)</t>
        </is>
      </c>
      <c r="B4" s="34" t="inlineStr">
        <is>
          <t>發行成本總額
(B)</t>
        </is>
      </c>
      <c r="C4" s="101" t="inlineStr">
        <is>
          <t>票收可撥款金額
C=(A-B)</t>
        </is>
      </c>
      <c r="D4" s="102" t="n"/>
    </row>
    <row r="5" ht="16.8" customHeight="1" s="1" thickBot="1">
      <c r="A5" s="80" t="inlineStr">
        <is>
          <t>8000000</t>
        </is>
      </c>
      <c r="B5" s="27" t="inlineStr">
        <is>
          <t>1200000</t>
        </is>
      </c>
      <c r="C5" s="97">
        <f>A5-B5</f>
        <v/>
      </c>
      <c r="D5" s="98" t="n"/>
    </row>
    <row r="6"/>
    <row r="7" ht="37.2" customFormat="1" customHeight="1" s="94" thickBot="1">
      <c r="A7" s="93" t="inlineStr">
        <is>
          <t>一、當期營收：</t>
        </is>
      </c>
      <c r="C7" s="28" t="n"/>
    </row>
    <row r="8" ht="32.4" customHeight="1" s="1">
      <c r="A8" s="72" t="inlineStr">
        <is>
          <t>業者</t>
        </is>
      </c>
      <c r="B8" s="72" t="inlineStr">
        <is>
          <t>行政區劃</t>
        </is>
      </c>
      <c r="C8" s="72" t="inlineStr">
        <is>
          <t>營收款(D)</t>
        </is>
      </c>
      <c r="D8" s="83" t="n"/>
      <c r="E8" s="77" t="n"/>
      <c r="F8" s="34" t="inlineStr">
        <is>
          <t>分配票收
F=(C*E)</t>
        </is>
      </c>
      <c r="G8" s="101" t="inlineStr">
        <is>
          <t>差額補貼款
G=(D-F)</t>
        </is>
      </c>
    </row>
    <row r="9">
      <c r="A9" s="81" t="n"/>
      <c r="B9" s="81" t="n"/>
      <c r="C9" s="72" t="inlineStr">
        <is>
          <t>比例(E)</t>
        </is>
      </c>
      <c r="D9" s="72" t="inlineStr">
        <is>
          <t>筆數</t>
        </is>
      </c>
      <c r="E9" s="72" t="inlineStr">
        <is>
          <t>金額</t>
        </is>
      </c>
      <c r="F9" s="95" t="inlineStr">
        <is>
          <t>金額</t>
        </is>
      </c>
      <c r="G9" s="29" t="inlineStr">
        <is>
          <t>金額</t>
        </is>
      </c>
    </row>
    <row r="10" ht="16.8" customHeight="1" s="1" thickBot="1">
      <c r="A10" s="108" t="inlineStr">
        <is>
          <t>甲客運</t>
        </is>
      </c>
      <c r="B10" s="108" t="inlineStr">
        <is>
          <t>信義區</t>
        </is>
      </c>
      <c r="C10" s="124" t="n">
        <v>2000000</v>
      </c>
      <c r="D10" s="108" t="n">
        <v>0.3</v>
      </c>
      <c r="E10" s="108" t="n">
        <v>1500</v>
      </c>
      <c r="F10" s="108" t="n">
        <v>2040000</v>
      </c>
      <c r="G10" s="108" t="n">
        <v>-40000</v>
      </c>
    </row>
    <row r="11">
      <c r="A11" s="108" t="inlineStr">
        <is>
          <t>乙客運</t>
        </is>
      </c>
      <c r="B11" s="108" t="inlineStr">
        <is>
          <t>大安區</t>
        </is>
      </c>
      <c r="C11" s="124" t="n">
        <v>1800000</v>
      </c>
      <c r="D11" s="108" t="n">
        <v>0.27</v>
      </c>
      <c r="E11" s="108" t="n">
        <v>1350</v>
      </c>
      <c r="F11" s="108" t="n">
        <v>1836000</v>
      </c>
      <c r="G11" s="108" t="n">
        <v>-36000</v>
      </c>
    </row>
    <row r="12" ht="36.6" customFormat="1" customHeight="1" s="94">
      <c r="A12" s="108" t="inlineStr">
        <is>
          <t>丙客運</t>
        </is>
      </c>
      <c r="B12" s="108" t="inlineStr">
        <is>
          <t>中山區</t>
        </is>
      </c>
      <c r="C12" s="124" t="n">
        <v>2200000</v>
      </c>
      <c r="D12" s="108" t="n">
        <v>0.33</v>
      </c>
      <c r="E12" s="108" t="n">
        <v>1650</v>
      </c>
      <c r="F12" s="108" t="n">
        <v>2244000</v>
      </c>
      <c r="G12" s="108" t="n">
        <v>-44000</v>
      </c>
    </row>
    <row r="13" ht="33.9" customHeight="1" s="1"/>
    <row r="14" ht="17.1" customHeight="1" s="1">
      <c r="A14" s="93" t="inlineStr">
        <is>
          <t>二、中央差額補貼款</t>
        </is>
      </c>
      <c r="C14" s="28" t="n"/>
    </row>
    <row r="15">
      <c r="A15" s="72" t="inlineStr">
        <is>
          <t>業者</t>
        </is>
      </c>
      <c r="B15" s="95" t="inlineStr">
        <is>
          <t>行政區劃</t>
        </is>
      </c>
      <c r="C15" s="100" t="inlineStr">
        <is>
          <t>中央差額補貼款
(G1=G*H)</t>
        </is>
      </c>
      <c r="D15" s="79" t="n"/>
      <c r="E15" s="31" t="n"/>
      <c r="F15" s="31" t="n"/>
      <c r="G15" s="31" t="n"/>
      <c r="H15" s="31" t="n"/>
      <c r="I15" s="92" t="n"/>
      <c r="L15" s="92" t="n"/>
      <c r="N15" s="92" t="n"/>
      <c r="P15" s="92" t="n"/>
      <c r="R15" s="92" t="n"/>
    </row>
    <row r="16">
      <c r="A16" s="81" t="n"/>
      <c r="B16" s="96" t="n"/>
      <c r="C16" s="72" t="inlineStr">
        <is>
          <t>比例(H)</t>
        </is>
      </c>
      <c r="D16" s="95" t="inlineStr">
        <is>
          <t>金額(G1)</t>
        </is>
      </c>
      <c r="E16" s="32" t="n"/>
      <c r="F16" s="92" t="n"/>
      <c r="G16" s="92" t="n"/>
      <c r="H16" s="92" t="n"/>
      <c r="I16" s="92" t="n"/>
      <c r="J16" s="92" t="n"/>
      <c r="L16" s="92" t="n"/>
      <c r="M16" s="92" t="n"/>
      <c r="N16" s="92" t="n"/>
      <c r="O16" s="92" t="n"/>
      <c r="P16" s="92" t="n"/>
      <c r="Q16" s="92" t="n"/>
      <c r="R16" s="92" t="n"/>
      <c r="S16" s="92" t="n"/>
    </row>
    <row r="17">
      <c r="A17" s="108" t="inlineStr">
        <is>
          <t>甲客運</t>
        </is>
      </c>
      <c r="B17" s="108" t="inlineStr">
        <is>
          <t>信義區</t>
        </is>
      </c>
      <c r="C17" s="124" t="n">
        <v>0</v>
      </c>
      <c r="D17" s="108" t="n">
        <v>0</v>
      </c>
      <c r="E17" s="32" t="n"/>
      <c r="F17" s="92" t="n"/>
      <c r="G17" s="92" t="n"/>
    </row>
    <row r="18" ht="32.4" customHeight="1" s="1">
      <c r="A18" s="108" t="inlineStr">
        <is>
          <t>乙客運</t>
        </is>
      </c>
      <c r="B18" s="108" t="inlineStr">
        <is>
          <t>大安區</t>
        </is>
      </c>
      <c r="C18" s="124" t="n">
        <v>0</v>
      </c>
      <c r="D18" s="108" t="inlineStr">
        <is>
          <t>台北市</t>
        </is>
      </c>
      <c r="E18" s="32" t="n"/>
      <c r="F18" s="92" t="n"/>
      <c r="G18" s="92" t="n"/>
    </row>
    <row r="19">
      <c r="A19" s="108" t="inlineStr">
        <is>
          <t>丙客運</t>
        </is>
      </c>
      <c r="B19" s="108" t="inlineStr">
        <is>
          <t>中山區</t>
        </is>
      </c>
      <c r="C19" s="124" t="n">
        <v>0</v>
      </c>
      <c r="D19" s="108" t="n">
        <v>0</v>
      </c>
      <c r="E19" s="32" t="n"/>
      <c r="F19" s="92" t="n"/>
      <c r="G19" s="92" t="n"/>
    </row>
    <row r="20">
      <c r="A20" s="92" t="n"/>
      <c r="C20" s="125" t="n"/>
      <c r="E20" s="126" t="n"/>
      <c r="F20" s="126" t="n"/>
      <c r="G20" s="126" t="n"/>
    </row>
    <row r="21">
      <c r="A21" s="93" t="inlineStr">
        <is>
          <t>三、地方政府差額補貼款</t>
        </is>
      </c>
    </row>
    <row r="22">
      <c r="A22" s="72" t="inlineStr">
        <is>
          <t>業者</t>
        </is>
      </c>
      <c r="B22" s="95" t="inlineStr">
        <is>
          <t>行政區劃</t>
        </is>
      </c>
      <c r="C22" s="34" t="inlineStr">
        <is>
          <t>地方差額補貼款
(G2=G-G1)</t>
        </is>
      </c>
      <c r="D22" s="72" t="inlineStr">
        <is>
          <t>{{city}}</t>
        </is>
      </c>
      <c r="E22" s="31" t="n"/>
      <c r="F22" s="31" t="n"/>
      <c r="G22" s="31" t="n"/>
    </row>
    <row r="23">
      <c r="A23" s="81" t="n"/>
      <c r="B23" s="96" t="n"/>
      <c r="C23" s="95" t="inlineStr">
        <is>
          <t>金額(G2)</t>
        </is>
      </c>
      <c r="D23" s="72" t="n"/>
      <c r="E23" s="31" t="n"/>
      <c r="F23" s="31" t="n"/>
      <c r="G23" s="31" t="n"/>
    </row>
    <row r="24">
      <c r="A24" s="108" t="inlineStr">
        <is>
          <t>甲客運</t>
        </is>
      </c>
      <c r="B24" s="108" t="inlineStr">
        <is>
          <t>信義區</t>
        </is>
      </c>
      <c r="C24" s="108" t="n">
        <v>-40000</v>
      </c>
      <c r="D24" s="72" t="n"/>
      <c r="E24" s="92" t="n"/>
      <c r="F24" s="92" t="n"/>
      <c r="G24" s="92" t="n"/>
      <c r="H24" s="92" t="n"/>
      <c r="I24" s="92" t="n"/>
    </row>
    <row r="25">
      <c r="A25" s="108" t="inlineStr">
        <is>
          <t>乙客運</t>
        </is>
      </c>
      <c r="B25" s="108" t="inlineStr">
        <is>
          <t>大安區</t>
        </is>
      </c>
      <c r="C25" s="108" t="n">
        <v>-36000</v>
      </c>
      <c r="D25" s="72" t="n"/>
      <c r="E25" s="92" t="n"/>
      <c r="F25" s="92" t="n"/>
      <c r="G25" s="92" t="n"/>
      <c r="H25" s="92" t="n"/>
      <c r="I25" s="92" t="n"/>
    </row>
    <row r="26">
      <c r="A26" s="108" t="inlineStr">
        <is>
          <t>丙客運</t>
        </is>
      </c>
      <c r="B26" s="108" t="inlineStr">
        <is>
          <t>中山區</t>
        </is>
      </c>
      <c r="C26" s="108" t="n">
        <v>-44000</v>
      </c>
      <c r="D26" s="72" t="n"/>
      <c r="E26" s="92" t="n"/>
      <c r="F26" s="92" t="n"/>
      <c r="G26" s="92" t="n"/>
      <c r="H26" s="92" t="n"/>
      <c r="I26" s="92" t="n"/>
    </row>
    <row r="27">
      <c r="A27" s="92" t="n"/>
      <c r="B27" s="92" t="n"/>
      <c r="C27" s="92" t="n"/>
      <c r="D27" s="92" t="n"/>
      <c r="E27" s="92" t="n"/>
      <c r="F27" s="92" t="n"/>
      <c r="G27" s="92" t="n"/>
      <c r="H27" s="92" t="n"/>
      <c r="I27" s="92" t="n"/>
    </row>
    <row r="28">
      <c r="A28" s="33" t="n"/>
      <c r="B28" s="92" t="n"/>
      <c r="C28" s="92" t="n"/>
      <c r="D28" s="92" t="n"/>
      <c r="E28" s="92" t="n"/>
      <c r="F28" s="92" t="n"/>
      <c r="G28" s="92" t="n"/>
      <c r="H28" s="92" t="n"/>
      <c r="I28" s="92" t="n"/>
    </row>
    <row r="29">
      <c r="A29" s="92" t="n"/>
      <c r="B29" s="92" t="n"/>
      <c r="C29" s="92" t="n"/>
      <c r="D29" s="92" t="n"/>
      <c r="E29" s="92" t="n"/>
      <c r="F29" s="92" t="n"/>
      <c r="G29" s="92" t="n"/>
      <c r="H29" s="92" t="n"/>
      <c r="I29" s="92" t="n"/>
    </row>
    <row r="30">
      <c r="A30" s="92" t="n"/>
      <c r="B30" s="92" t="n"/>
      <c r="C30" s="92" t="n"/>
      <c r="D30" s="92" t="n"/>
      <c r="E30" s="92" t="n"/>
      <c r="F30" s="92" t="n"/>
      <c r="G30" s="92" t="n"/>
      <c r="H30" s="92" t="n"/>
      <c r="I30" s="92" t="n"/>
    </row>
  </sheetData>
  <mergeCells count="19">
    <mergeCell ref="C15:D15"/>
    <mergeCell ref="I15:J15"/>
    <mergeCell ref="C5:D5"/>
    <mergeCell ref="B8:B9"/>
    <mergeCell ref="C4:D4"/>
    <mergeCell ref="A7:B7"/>
    <mergeCell ref="R15:S15"/>
    <mergeCell ref="C8:E8"/>
    <mergeCell ref="L15:M15"/>
    <mergeCell ref="B15:B16"/>
    <mergeCell ref="A21:B21"/>
    <mergeCell ref="A8:A9"/>
    <mergeCell ref="A1:G1"/>
    <mergeCell ref="A22:A23"/>
    <mergeCell ref="A14:B14"/>
    <mergeCell ref="N15:O15"/>
    <mergeCell ref="B22:B23"/>
    <mergeCell ref="P15:Q15"/>
    <mergeCell ref="A15:A1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P434薛仲君</dc:creator>
  <dcterms:created xsi:type="dcterms:W3CDTF">2025-07-22T05:48:06Z</dcterms:created>
  <dcterms:modified xsi:type="dcterms:W3CDTF">2026-06-26T15:30:09Z</dcterms:modified>
  <cp:lastModifiedBy>P434薛仲君</cp:lastModifiedBy>
</cp:coreProperties>
</file>